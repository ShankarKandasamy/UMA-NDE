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/>
  <mc:AlternateContent xmlns:mc="http://schemas.openxmlformats.org/markup-compatibility/2006">
    <mc:Choice Requires="x15">
      <x15ac:absPath xmlns:x15ac="http://schemas.microsoft.com/office/spreadsheetml/2010/11/ac" url="C:\Users\shank\OneDrive\Destiny\Uma\UmaAI\uma-capture-mvp\docs\"/>
    </mc:Choice>
  </mc:AlternateContent>
  <bookViews>
    <workbookView xWindow="0" yWindow="0" windowWidth="28800" windowHeight="12090" firstSheet="5" activeTab="10"/>
  </bookViews>
  <sheets>
    <sheet name="01_PipingCircuit" sheetId="1" r:id="rId1"/>
    <sheet name="02_OrientationGrid" sheetId="2" r:id="rId2"/>
    <sheet name="03_PipeShoe_CUI" sheetId="3" r:id="rId3"/>
    <sheet name="04_Isometric_Legend" sheetId="4" r:id="rId4"/>
    <sheet name="05_Shutdown_Field" sheetId="5" r:id="rId5"/>
    <sheet name="06_Owner_Corrosion" sheetId="6" r:id="rId6"/>
    <sheet name="07_PV_ShellGrid" sheetId="7" r:id="rId7"/>
    <sheet name="08_PV_Nozzles" sheetId="8" r:id="rId8"/>
    <sheet name="09_PV_EngEval" sheetId="9" r:id="rId9"/>
    <sheet name="10_Tank_ShellCompass" sheetId="10" r:id="rId10"/>
    <sheet name="11_Tank_MultiCourse" sheetId="11" r:id="rId11"/>
    <sheet name="12_Tank_InspectorNotes" sheetId="12" r:id="rId12"/>
  </sheets>
  <definedNames>
    <definedName name="_xlnm.Print_Titles" localSheetId="0">'01_PipingCircuit'!$1:$10</definedName>
    <definedName name="_xlnm.Print_Titles" localSheetId="4">'05_Shutdown_Field'!$1:$9</definedName>
    <definedName name="_xlnm.Print_Titles" localSheetId="5">'06_Owner_Corrosion'!$1:$9</definedName>
  </definedNames>
  <calcPr calcId="171027"/>
</workbook>
</file>

<file path=xl/calcChain.xml><?xml version="1.0" encoding="utf-8"?>
<calcChain xmlns="http://schemas.openxmlformats.org/spreadsheetml/2006/main">
  <c r="F22" i="11" l="1"/>
  <c r="C22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F16" i="10"/>
  <c r="G14" i="10"/>
  <c r="F14" i="10"/>
  <c r="G13" i="10"/>
  <c r="F13" i="10"/>
  <c r="G12" i="10"/>
  <c r="F12" i="10"/>
  <c r="F21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D18" i="3"/>
  <c r="G16" i="3"/>
  <c r="E16" i="3"/>
  <c r="G15" i="3"/>
  <c r="E15" i="3"/>
  <c r="G14" i="3"/>
  <c r="E14" i="3"/>
  <c r="G13" i="3"/>
  <c r="E13" i="3"/>
  <c r="G12" i="3"/>
  <c r="E12" i="3"/>
</calcChain>
</file>

<file path=xl/sharedStrings.xml><?xml version="1.0" encoding="utf-8"?>
<sst xmlns="http://schemas.openxmlformats.org/spreadsheetml/2006/main" count="391" uniqueCount="177">
  <si>
    <t>[COMPANY LOGO]</t>
  </si>
  <si>
    <t>YOUR COMPANY NAME</t>
  </si>
  <si>
    <t>PIPING CIRCUIT THICKNESS SHEET (API 570/574)</t>
  </si>
  <si>
    <t>Doc No:</t>
  </si>
  <si>
    <t>Rev:</t>
  </si>
  <si>
    <t>Page:</t>
  </si>
  <si>
    <t>Inspector:</t>
  </si>
  <si>
    <t>Date:</t>
  </si>
  <si>
    <t>Equipment ID:</t>
  </si>
  <si>
    <t>Client:</t>
  </si>
  <si>
    <t>CIRCUIT INFORMATION</t>
  </si>
  <si>
    <t>Line No:</t>
  </si>
  <si>
    <t>Circuit ID:</t>
  </si>
  <si>
    <t>P&amp;ID Ref:</t>
  </si>
  <si>
    <t>Service:</t>
  </si>
  <si>
    <t>NPS:</t>
  </si>
  <si>
    <t>Schedule:</t>
  </si>
  <si>
    <t>Material:</t>
  </si>
  <si>
    <t>Nom. t (mm):</t>
  </si>
  <si>
    <t>CML</t>
  </si>
  <si>
    <t>Location Description</t>
  </si>
  <si>
    <t>Nom t
(mm)</t>
  </si>
  <si>
    <t>Meas t
(mm)</t>
  </si>
  <si>
    <t>Tmin
(mm)</t>
  </si>
  <si>
    <t>CR
(mm/yr)</t>
  </si>
  <si>
    <t>RL
(yrs)</t>
  </si>
  <si>
    <t>Notes / Observations</t>
  </si>
  <si>
    <t>APPROVAL / SIGN-OFF</t>
  </si>
  <si>
    <t>Inspected By:</t>
  </si>
  <si>
    <t>Signature:</t>
  </si>
  <si>
    <t>Reviewed By:</t>
  </si>
  <si>
    <t>Approved By:</t>
  </si>
  <si>
    <t>ORIENTATION-BASED CML GRID</t>
  </si>
  <si>
    <t>LOCATION INFORMATION</t>
  </si>
  <si>
    <t>CML ID:</t>
  </si>
  <si>
    <t>Location:</t>
  </si>
  <si>
    <t>ORIENTATION DIAGRAM
     12:00 (Top)
9:00  O  3:00
     6:00 (Bottom)</t>
  </si>
  <si>
    <t>THICKNESS READINGS (mm)</t>
  </si>
  <si>
    <t>12 o'clock (Top)</t>
  </si>
  <si>
    <t>3 o'clock</t>
  </si>
  <si>
    <t>6 o'clock (Bottom)</t>
  </si>
  <si>
    <t>9 o'clock</t>
  </si>
  <si>
    <t>SUMMARY</t>
  </si>
  <si>
    <t>Minimum Reading (mm):</t>
  </si>
  <si>
    <t>Nominal Thickness (mm):</t>
  </si>
  <si>
    <t>Tmin (mm):</t>
  </si>
  <si>
    <t>Status:</t>
  </si>
  <si>
    <t>COMMENTS / OBSERVATIONS</t>
  </si>
  <si>
    <t>PIPE SHOE / CUI THICKNESS SHEET</t>
  </si>
  <si>
    <t>Pipe Shoe ID:</t>
  </si>
  <si>
    <t>Support Type:</t>
  </si>
  <si>
    <t>Insulation Removed:</t>
  </si>
  <si>
    <t>CUI Observed:</t>
  </si>
  <si>
    <t>Position</t>
  </si>
  <si>
    <t>Reading 1</t>
  </si>
  <si>
    <t>Reading 2</t>
  </si>
  <si>
    <t>Reading 3</t>
  </si>
  <si>
    <t>Average</t>
  </si>
  <si>
    <t>Tmin</t>
  </si>
  <si>
    <t>Status</t>
  </si>
  <si>
    <t>Top</t>
  </si>
  <si>
    <t>Bottom</t>
  </si>
  <si>
    <t>Side A (Left)</t>
  </si>
  <si>
    <t>Side B (Right)</t>
  </si>
  <si>
    <t>At Support</t>
  </si>
  <si>
    <t>Minimum Thickness Found (mm):</t>
  </si>
  <si>
    <t>OBSERVATIONS / DEFECTS NOTED</t>
  </si>
  <si>
    <t>ISOMETRIC SKETCH + CML LEGEND</t>
  </si>
  <si>
    <t>Drawing/ISO Ref:</t>
  </si>
  <si>
    <t>System:</t>
  </si>
  <si>
    <t>ISOMETRIC SKETCH AREA</t>
  </si>
  <si>
    <t>(Inspector draws piping run and marks CML locations)
Use arrows to indicate flow direction
Mark CML numbers at measurement locations
Indicate supports, fittings, and key features</t>
  </si>
  <si>
    <t>CML LEGEND</t>
  </si>
  <si>
    <t>Location</t>
  </si>
  <si>
    <t>Nom t (mm)</t>
  </si>
  <si>
    <t>Meas t (mm)</t>
  </si>
  <si>
    <t>Tmin (mm)</t>
  </si>
  <si>
    <t>Comments</t>
  </si>
  <si>
    <t>SHUTDOWN FIELD SHEET</t>
  </si>
  <si>
    <t>JOB INFORMATION</t>
  </si>
  <si>
    <t>Job #:</t>
  </si>
  <si>
    <t>Work Order:</t>
  </si>
  <si>
    <t>Unit/Area:</t>
  </si>
  <si>
    <t>t1 (mm)</t>
  </si>
  <si>
    <t>t2 (mm)</t>
  </si>
  <si>
    <t>t3 (mm)</t>
  </si>
  <si>
    <t>t4 (mm)</t>
  </si>
  <si>
    <t>Min t (mm)</t>
  </si>
  <si>
    <t>OWNER-MANDATED CORROSION SHEET</t>
  </si>
  <si>
    <t>CLIENT / UNIT INFORMATION</t>
  </si>
  <si>
    <t>Unit:</t>
  </si>
  <si>
    <t>Risk Class:</t>
  </si>
  <si>
    <t>Analysis Date:</t>
  </si>
  <si>
    <t>Design t
(mm)</t>
  </si>
  <si>
    <t>Last t
(mm)</t>
  </si>
  <si>
    <t>Curr t
(mm)</t>
  </si>
  <si>
    <t>Δt
(mm)</t>
  </si>
  <si>
    <t>Next Insp
Date</t>
  </si>
  <si>
    <t>PRESSURE VESSEL - SHELL COURSE GRID (API 510)</t>
  </si>
  <si>
    <t>VESSEL INFORMATION</t>
  </si>
  <si>
    <t>Vessel ID:</t>
  </si>
  <si>
    <t>Tag No:</t>
  </si>
  <si>
    <t>Nominal t (mm):</t>
  </si>
  <si>
    <t>SHELL COURSE THICKNESS READINGS (mm)</t>
  </si>
  <si>
    <t>Shell Course</t>
  </si>
  <si>
    <t>N (0°)</t>
  </si>
  <si>
    <t>E (90°)</t>
  </si>
  <si>
    <t>S (180°)</t>
  </si>
  <si>
    <t>W (270°)</t>
  </si>
  <si>
    <t>Minimum</t>
  </si>
  <si>
    <t>Course 1</t>
  </si>
  <si>
    <t>Course 2</t>
  </si>
  <si>
    <t>Course 3</t>
  </si>
  <si>
    <t>Course 4</t>
  </si>
  <si>
    <t>Course 5</t>
  </si>
  <si>
    <t>Course 6</t>
  </si>
  <si>
    <t>Course 7</t>
  </si>
  <si>
    <t>Course 8</t>
  </si>
  <si>
    <t>Overall Minimum Thickness (mm):</t>
  </si>
  <si>
    <t>PRESSURE VESSEL - NOZZLE THICKNESS SHEET</t>
  </si>
  <si>
    <t>Nozzle</t>
  </si>
  <si>
    <t>Size/Type</t>
  </si>
  <si>
    <t>Orientation</t>
  </si>
  <si>
    <t>Remarks</t>
  </si>
  <si>
    <t>N1</t>
  </si>
  <si>
    <t>N2</t>
  </si>
  <si>
    <t>N3</t>
  </si>
  <si>
    <t>N4</t>
  </si>
  <si>
    <t>N5</t>
  </si>
  <si>
    <t>N6</t>
  </si>
  <si>
    <t>N7</t>
  </si>
  <si>
    <t>N8</t>
  </si>
  <si>
    <t>M1</t>
  </si>
  <si>
    <t>M2</t>
  </si>
  <si>
    <t>PSV</t>
  </si>
  <si>
    <t>Drain</t>
  </si>
  <si>
    <t>Vent</t>
  </si>
  <si>
    <t>PRESSURE VESSEL - ENGINEERING EVALUATION</t>
  </si>
  <si>
    <t>COMPONENT IDENTIFICATION</t>
  </si>
  <si>
    <t>Component:</t>
  </si>
  <si>
    <t>Measured t (mm):</t>
  </si>
  <si>
    <t>ENGINEERING NOTES</t>
  </si>
  <si>
    <t>Localized thinning observed at:</t>
  </si>
  <si>
    <t>Assumed corrosion mechanism:</t>
  </si>
  <si>
    <t>Rate of deterioration assessment:</t>
  </si>
  <si>
    <t>Remaining service life estimate:</t>
  </si>
  <si>
    <t>Recommended action:</t>
  </si>
  <si>
    <t>ACCEPTABILITY PER API 510</t>
  </si>
  <si>
    <t>Determination:</t>
  </si>
  <si>
    <t>FFS Required:</t>
  </si>
  <si>
    <t>STORAGE TANK - SHELL COMPASS TABLE (API 653)</t>
  </si>
  <si>
    <t>TANK INFORMATION</t>
  </si>
  <si>
    <t>Tank ID:</t>
  </si>
  <si>
    <t>Product:</t>
  </si>
  <si>
    <t>Shell Course:</t>
  </si>
  <si>
    <t>Height (m):</t>
  </si>
  <si>
    <t>COMPASS THICKNESS READINGS (mm)</t>
  </si>
  <si>
    <t>0° (N)</t>
  </si>
  <si>
    <t>90° (E)</t>
  </si>
  <si>
    <t>180° (S)</t>
  </si>
  <si>
    <t>270° (W)</t>
  </si>
  <si>
    <t>Top (6" from seam)</t>
  </si>
  <si>
    <t>Middle</t>
  </si>
  <si>
    <t>Bottom (6" from seam)</t>
  </si>
  <si>
    <t>Minimum Thickness This Course (mm):</t>
  </si>
  <si>
    <t>STORAGE TANK - MULTI-COURSE SUMMARY</t>
  </si>
  <si>
    <t>Inspection Date:</t>
  </si>
  <si>
    <t>Course</t>
  </si>
  <si>
    <t>Avg t (mm)</t>
  </si>
  <si>
    <t>% Loss</t>
  </si>
  <si>
    <t>Overall Min (mm):</t>
  </si>
  <si>
    <t>Max % Loss:</t>
  </si>
  <si>
    <t>INSPECTOR NOTEBOOK PAGE</t>
  </si>
  <si>
    <t>Tank/Equipment ID:</t>
  </si>
  <si>
    <t>FREE-FORM NOTES / SKETCHES</t>
  </si>
  <si>
    <t>QUICK REFERENCE - COMMON ANNOTATIONS</t>
  </si>
  <si>
    <t>• Circle critical readings  • Arrow to indicate problem areas  • 'X' marks defects
• Use dashed lines for estimated boundaries  • Note CML numbers clearly
• Include dimensions and distances where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</si>
</sst>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&quot;%&quot;"/>
  </numFmts>
  <fonts count="8" x14ac:knownFonts="1">
    <font>
      <sz val="11"/>
      <color theme="1"/>
      <name val="Calibri"/>
      <family val="2"/>
      <scheme val="minor"/>
    </font>
    <font>
      <b/>
      <sz val="11"/>
      <color rgb="FF1F1F1F"/>
      <name val="Calibri"/>
    </font>
    <font>
      <b/>
      <sz val="16"/>
      <color rgb="FF1F4E79"/>
      <name val="Calibri"/>
    </font>
    <font>
      <b/>
      <sz val="14"/>
      <color rgb="FFFFFFFF"/>
      <name val="Calibri"/>
    </font>
    <font>
      <b/>
      <sz val="10"/>
      <color rgb="FF1F1F1F"/>
      <name val="Calibri"/>
    </font>
    <font>
      <sz val="10"/>
      <color rgb="FF1F1F1F"/>
      <name val="Calibri"/>
    </font>
    <font>
      <b/>
      <sz val="11"/>
      <name val="Calibri"/>
    </font>
    <font>
      <sz val="9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6E3F8"/>
        <bgColor rgb="FFD6E3F8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2" fontId="6" fillId="6" borderId="2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5"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  <dxf>
      <font>
        <b/>
        <color rgb="FF9C0006"/>
      </font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>
      <pane ySplit="10" topLeftCell="A26" activePane="bottomLeft" state="frozen"/>
      <selection pane="bottomLeft" activeCell="G11" sqref="G11"/>
    </sheetView>
  </sheetViews>
  <sheetFormatPr defaultRowHeight="15" x14ac:dyDescent="0.25"/>
  <cols>
    <col min="1" max="1" width="12" customWidth="1"/>
    <col min="2" max="2" width="30" customWidth="1"/>
    <col min="3" max="5" width="12" customWidth="1"/>
    <col min="6" max="7" width="10" customWidth="1"/>
    <col min="8" max="8" width="25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2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ht="20.100000000000001" customHeight="1" x14ac:dyDescent="0.25">
      <c r="A6" s="15" t="s">
        <v>10</v>
      </c>
      <c r="B6" s="14"/>
      <c r="C6" s="14"/>
      <c r="D6" s="14"/>
      <c r="E6" s="14"/>
      <c r="F6" s="14"/>
      <c r="G6" s="14"/>
      <c r="H6" s="14"/>
    </row>
    <row r="7" spans="1:8" ht="21.95" customHeight="1" x14ac:dyDescent="0.25">
      <c r="A7" s="1" t="s">
        <v>11</v>
      </c>
      <c r="B7" s="2"/>
      <c r="C7" s="1" t="s">
        <v>12</v>
      </c>
      <c r="D7" s="2"/>
      <c r="E7" s="1" t="s">
        <v>13</v>
      </c>
      <c r="F7" s="2"/>
      <c r="G7" s="1" t="s">
        <v>14</v>
      </c>
      <c r="H7" s="2"/>
    </row>
    <row r="8" spans="1:8" ht="21.95" customHeight="1" x14ac:dyDescent="0.25">
      <c r="A8" s="1" t="s">
        <v>15</v>
      </c>
      <c r="B8" s="2"/>
      <c r="C8" s="1" t="s">
        <v>16</v>
      </c>
      <c r="D8" s="2"/>
      <c r="E8" s="1" t="s">
        <v>17</v>
      </c>
      <c r="F8" s="2"/>
      <c r="G8" s="1" t="s">
        <v>18</v>
      </c>
      <c r="H8" s="2"/>
    </row>
    <row r="10" spans="1:8" ht="30" customHeight="1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</row>
    <row r="11" spans="1:8" ht="21.95" customHeight="1" x14ac:dyDescent="0.25">
      <c r="A11" s="4"/>
      <c r="B11" s="2"/>
      <c r="C11" s="4"/>
      <c r="D11" s="4"/>
      <c r="E11" s="4"/>
      <c r="F11" s="5"/>
      <c r="G11" s="5"/>
      <c r="H11" s="2"/>
    </row>
    <row r="12" spans="1:8" ht="21.95" customHeight="1" x14ac:dyDescent="0.25">
      <c r="A12" s="4"/>
      <c r="B12" s="2"/>
      <c r="C12" s="4"/>
      <c r="D12" s="4"/>
      <c r="E12" s="4"/>
      <c r="F12" s="5"/>
      <c r="G12" s="5"/>
      <c r="H12" s="2"/>
    </row>
    <row r="13" spans="1:8" ht="21.95" customHeight="1" x14ac:dyDescent="0.25">
      <c r="A13" s="4"/>
      <c r="B13" s="2"/>
      <c r="C13" s="4"/>
      <c r="D13" s="4"/>
      <c r="E13" s="4"/>
      <c r="F13" s="5"/>
      <c r="G13" s="5"/>
      <c r="H13" s="2"/>
    </row>
    <row r="14" spans="1:8" ht="21.95" customHeight="1" x14ac:dyDescent="0.25">
      <c r="A14" s="4"/>
      <c r="B14" s="2"/>
      <c r="C14" s="4"/>
      <c r="D14" s="4"/>
      <c r="E14" s="4"/>
      <c r="F14" s="5"/>
      <c r="G14" s="5"/>
      <c r="H14" s="2"/>
    </row>
    <row r="15" spans="1:8" ht="21.95" customHeight="1" x14ac:dyDescent="0.25">
      <c r="A15" s="4"/>
      <c r="B15" s="2"/>
      <c r="C15" s="4"/>
      <c r="D15" s="4"/>
      <c r="E15" s="4"/>
      <c r="F15" s="5"/>
      <c r="G15" s="5"/>
      <c r="H15" s="2"/>
    </row>
    <row r="16" spans="1:8" ht="21.95" customHeight="1" x14ac:dyDescent="0.25">
      <c r="A16" s="4"/>
      <c r="B16" s="2"/>
      <c r="C16" s="4"/>
      <c r="D16" s="4"/>
      <c r="E16" s="4"/>
      <c r="F16" s="5"/>
      <c r="G16" s="5"/>
      <c r="H16" s="2"/>
    </row>
    <row r="17" spans="1:8" ht="21.95" customHeight="1" x14ac:dyDescent="0.25">
      <c r="A17" s="4"/>
      <c r="B17" s="2"/>
      <c r="C17" s="4"/>
      <c r="D17" s="4"/>
      <c r="E17" s="4"/>
      <c r="F17" s="5"/>
      <c r="G17" s="5"/>
      <c r="H17" s="2"/>
    </row>
    <row r="18" spans="1:8" ht="21.95" customHeight="1" x14ac:dyDescent="0.25">
      <c r="A18" s="4"/>
      <c r="B18" s="2"/>
      <c r="C18" s="4"/>
      <c r="D18" s="4"/>
      <c r="E18" s="4"/>
      <c r="F18" s="5"/>
      <c r="G18" s="5"/>
      <c r="H18" s="2"/>
    </row>
    <row r="19" spans="1:8" ht="21.95" customHeight="1" x14ac:dyDescent="0.25">
      <c r="A19" s="4"/>
      <c r="B19" s="2"/>
      <c r="C19" s="4"/>
      <c r="D19" s="4"/>
      <c r="E19" s="4"/>
      <c r="F19" s="5"/>
      <c r="G19" s="5"/>
      <c r="H19" s="2"/>
    </row>
    <row r="20" spans="1:8" ht="21.95" customHeight="1" x14ac:dyDescent="0.25">
      <c r="A20" s="4"/>
      <c r="B20" s="2"/>
      <c r="C20" s="4"/>
      <c r="D20" s="4"/>
      <c r="E20" s="4"/>
      <c r="F20" s="5"/>
      <c r="G20" s="5"/>
      <c r="H20" s="2"/>
    </row>
    <row r="21" spans="1:8" ht="21.95" customHeight="1" x14ac:dyDescent="0.25">
      <c r="A21" s="4"/>
      <c r="B21" s="2"/>
      <c r="C21" s="4"/>
      <c r="D21" s="4"/>
      <c r="E21" s="4"/>
      <c r="F21" s="5"/>
      <c r="G21" s="5"/>
      <c r="H21" s="2"/>
    </row>
    <row r="22" spans="1:8" ht="21.95" customHeight="1" x14ac:dyDescent="0.25">
      <c r="A22" s="4"/>
      <c r="B22" s="2"/>
      <c r="C22" s="4"/>
      <c r="D22" s="4"/>
      <c r="E22" s="4"/>
      <c r="F22" s="5"/>
      <c r="G22" s="5"/>
      <c r="H22" s="2"/>
    </row>
    <row r="23" spans="1:8" ht="21.95" customHeight="1" x14ac:dyDescent="0.25">
      <c r="A23" s="4"/>
      <c r="B23" s="2"/>
      <c r="C23" s="4"/>
      <c r="D23" s="4"/>
      <c r="E23" s="4"/>
      <c r="F23" s="5"/>
      <c r="G23" s="5"/>
      <c r="H23" s="2"/>
    </row>
    <row r="24" spans="1:8" ht="21.95" customHeight="1" x14ac:dyDescent="0.25">
      <c r="A24" s="4"/>
      <c r="B24" s="2"/>
      <c r="C24" s="4"/>
      <c r="D24" s="4"/>
      <c r="E24" s="4"/>
      <c r="F24" s="5"/>
      <c r="G24" s="5"/>
      <c r="H24" s="2"/>
    </row>
    <row r="25" spans="1:8" ht="21.95" customHeight="1" x14ac:dyDescent="0.25">
      <c r="A25" s="4"/>
      <c r="B25" s="2"/>
      <c r="C25" s="4"/>
      <c r="D25" s="4"/>
      <c r="E25" s="4"/>
      <c r="F25" s="5"/>
      <c r="G25" s="5"/>
      <c r="H25" s="2"/>
    </row>
    <row r="26" spans="1:8" ht="21.95" customHeight="1" x14ac:dyDescent="0.25">
      <c r="A26" s="4"/>
      <c r="B26" s="2"/>
      <c r="C26" s="4"/>
      <c r="D26" s="4"/>
      <c r="E26" s="4"/>
      <c r="F26" s="5"/>
      <c r="G26" s="5"/>
      <c r="H26" s="2"/>
    </row>
    <row r="27" spans="1:8" ht="21.95" customHeight="1" x14ac:dyDescent="0.25">
      <c r="A27" s="4"/>
      <c r="B27" s="2"/>
      <c r="C27" s="4"/>
      <c r="D27" s="4"/>
      <c r="E27" s="4"/>
      <c r="F27" s="5"/>
      <c r="G27" s="5"/>
      <c r="H27" s="2"/>
    </row>
    <row r="28" spans="1:8" ht="21.95" customHeight="1" x14ac:dyDescent="0.25">
      <c r="A28" s="4"/>
      <c r="B28" s="2"/>
      <c r="C28" s="4"/>
      <c r="D28" s="4"/>
      <c r="E28" s="4"/>
      <c r="F28" s="5"/>
      <c r="G28" s="5"/>
      <c r="H28" s="2"/>
    </row>
    <row r="29" spans="1:8" ht="21.95" customHeight="1" x14ac:dyDescent="0.25">
      <c r="A29" s="4"/>
      <c r="B29" s="2"/>
      <c r="C29" s="4"/>
      <c r="D29" s="4"/>
      <c r="E29" s="4"/>
      <c r="F29" s="5"/>
      <c r="G29" s="5"/>
      <c r="H29" s="2"/>
    </row>
    <row r="30" spans="1:8" ht="21.95" customHeight="1" x14ac:dyDescent="0.25">
      <c r="A30" s="4"/>
      <c r="B30" s="2"/>
      <c r="C30" s="4"/>
      <c r="D30" s="4"/>
      <c r="E30" s="4"/>
      <c r="F30" s="5"/>
      <c r="G30" s="5"/>
      <c r="H30" s="2"/>
    </row>
    <row r="32" spans="1:8" x14ac:dyDescent="0.25">
      <c r="A32" s="15" t="s">
        <v>27</v>
      </c>
      <c r="B32" s="14"/>
      <c r="C32" s="14"/>
      <c r="D32" s="14"/>
      <c r="E32" s="14"/>
      <c r="F32" s="14"/>
      <c r="G32" s="14"/>
      <c r="H32" s="14"/>
    </row>
    <row r="33" spans="1:8" ht="24.95" customHeight="1" x14ac:dyDescent="0.25">
      <c r="A33" s="1" t="s">
        <v>28</v>
      </c>
      <c r="B33" s="13"/>
      <c r="C33" s="14"/>
      <c r="D33" s="1" t="s">
        <v>29</v>
      </c>
      <c r="E33" s="13"/>
      <c r="F33" s="14"/>
      <c r="G33" s="1" t="s">
        <v>7</v>
      </c>
      <c r="H33" s="2"/>
    </row>
    <row r="34" spans="1:8" ht="24.95" customHeight="1" x14ac:dyDescent="0.25">
      <c r="A34" s="1" t="s">
        <v>30</v>
      </c>
      <c r="B34" s="13"/>
      <c r="C34" s="14"/>
      <c r="D34" s="1" t="s">
        <v>29</v>
      </c>
      <c r="E34" s="13"/>
      <c r="F34" s="14"/>
      <c r="G34" s="1" t="s">
        <v>7</v>
      </c>
      <c r="H34" s="2"/>
    </row>
    <row r="35" spans="1:8" ht="24.95" customHeight="1" x14ac:dyDescent="0.25">
      <c r="A35" s="1" t="s">
        <v>31</v>
      </c>
      <c r="B35" s="13"/>
      <c r="C35" s="14"/>
      <c r="D35" s="1" t="s">
        <v>29</v>
      </c>
      <c r="E35" s="13"/>
      <c r="F35" s="14"/>
      <c r="G35" s="1" t="s">
        <v>7</v>
      </c>
      <c r="H35" s="2"/>
    </row>
  </sheetData>
  <mergeCells count="13">
    <mergeCell ref="C1:G1"/>
    <mergeCell ref="E33:F33"/>
    <mergeCell ref="B35:C35"/>
    <mergeCell ref="A32:H32"/>
    <mergeCell ref="C3:D3"/>
    <mergeCell ref="A1:B3"/>
    <mergeCell ref="E3:F3"/>
    <mergeCell ref="E34:F34"/>
    <mergeCell ref="E35:F35"/>
    <mergeCell ref="A6:H6"/>
    <mergeCell ref="B33:C33"/>
    <mergeCell ref="C2:G2"/>
    <mergeCell ref="B34:C34"/>
  </mergeCells>
  <conditionalFormatting sqref="D11">
    <cfRule type="expression" dxfId="74" priority="1">
      <formula>AND(D11&lt;&gt;"", E11&lt;&gt;"", D11&lt;E11)</formula>
    </cfRule>
  </conditionalFormatting>
  <conditionalFormatting sqref="D12">
    <cfRule type="expression" dxfId="73" priority="2">
      <formula>AND(D12&lt;&gt;"", E12&lt;&gt;"", D12&lt;E12)</formula>
    </cfRule>
  </conditionalFormatting>
  <conditionalFormatting sqref="D13">
    <cfRule type="expression" dxfId="72" priority="3">
      <formula>AND(D13&lt;&gt;"", E13&lt;&gt;"", D13&lt;E13)</formula>
    </cfRule>
  </conditionalFormatting>
  <conditionalFormatting sqref="D14">
    <cfRule type="expression" dxfId="71" priority="4">
      <formula>AND(D14&lt;&gt;"", E14&lt;&gt;"", D14&lt;E14)</formula>
    </cfRule>
  </conditionalFormatting>
  <conditionalFormatting sqref="D15">
    <cfRule type="expression" dxfId="70" priority="5">
      <formula>AND(D15&lt;&gt;"", E15&lt;&gt;"", D15&lt;E15)</formula>
    </cfRule>
  </conditionalFormatting>
  <conditionalFormatting sqref="D16">
    <cfRule type="expression" dxfId="69" priority="6">
      <formula>AND(D16&lt;&gt;"", E16&lt;&gt;"", D16&lt;E16)</formula>
    </cfRule>
  </conditionalFormatting>
  <conditionalFormatting sqref="D17">
    <cfRule type="expression" dxfId="68" priority="7">
      <formula>AND(D17&lt;&gt;"", E17&lt;&gt;"", D17&lt;E17)</formula>
    </cfRule>
  </conditionalFormatting>
  <conditionalFormatting sqref="D18">
    <cfRule type="expression" dxfId="67" priority="8">
      <formula>AND(D18&lt;&gt;"", E18&lt;&gt;"", D18&lt;E18)</formula>
    </cfRule>
  </conditionalFormatting>
  <conditionalFormatting sqref="D19">
    <cfRule type="expression" dxfId="66" priority="9">
      <formula>AND(D19&lt;&gt;"", E19&lt;&gt;"", D19&lt;E19)</formula>
    </cfRule>
  </conditionalFormatting>
  <conditionalFormatting sqref="D20">
    <cfRule type="expression" dxfId="65" priority="10">
      <formula>AND(D20&lt;&gt;"", E20&lt;&gt;"", D20&lt;E20)</formula>
    </cfRule>
  </conditionalFormatting>
  <conditionalFormatting sqref="D21">
    <cfRule type="expression" dxfId="64" priority="11">
      <formula>AND(D21&lt;&gt;"", E21&lt;&gt;"", D21&lt;E21)</formula>
    </cfRule>
  </conditionalFormatting>
  <conditionalFormatting sqref="D22">
    <cfRule type="expression" dxfId="63" priority="12">
      <formula>AND(D22&lt;&gt;"", E22&lt;&gt;"", D22&lt;E22)</formula>
    </cfRule>
  </conditionalFormatting>
  <conditionalFormatting sqref="D23">
    <cfRule type="expression" dxfId="62" priority="13">
      <formula>AND(D23&lt;&gt;"", E23&lt;&gt;"", D23&lt;E23)</formula>
    </cfRule>
  </conditionalFormatting>
  <conditionalFormatting sqref="D24">
    <cfRule type="expression" dxfId="61" priority="14">
      <formula>AND(D24&lt;&gt;"", E24&lt;&gt;"", D24&lt;E24)</formula>
    </cfRule>
  </conditionalFormatting>
  <conditionalFormatting sqref="D25">
    <cfRule type="expression" dxfId="60" priority="15">
      <formula>AND(D25&lt;&gt;"", E25&lt;&gt;"", D25&lt;E25)</formula>
    </cfRule>
  </conditionalFormatting>
  <conditionalFormatting sqref="D26">
    <cfRule type="expression" dxfId="59" priority="16">
      <formula>AND(D26&lt;&gt;"", E26&lt;&gt;"", D26&lt;E26)</formula>
    </cfRule>
  </conditionalFormatting>
  <conditionalFormatting sqref="D27">
    <cfRule type="expression" dxfId="58" priority="17">
      <formula>AND(D27&lt;&gt;"", E27&lt;&gt;"", D27&lt;E27)</formula>
    </cfRule>
  </conditionalFormatting>
  <conditionalFormatting sqref="D28">
    <cfRule type="expression" dxfId="57" priority="18">
      <formula>AND(D28&lt;&gt;"", E28&lt;&gt;"", D28&lt;E28)</formula>
    </cfRule>
  </conditionalFormatting>
  <conditionalFormatting sqref="D29">
    <cfRule type="expression" dxfId="56" priority="19">
      <formula>AND(D29&lt;&gt;"", E29&lt;&gt;"", D29&lt;E29)</formula>
    </cfRule>
  </conditionalFormatting>
  <conditionalFormatting sqref="D30">
    <cfRule type="expression" dxfId="55" priority="20">
      <formula>AND(D30&lt;&gt;"", E30&lt;&gt;"", D30&lt;E30)</formula>
    </cfRule>
  </conditionalFormatting>
  <pageMargins left="0.5" right="0.5" top="0.75" bottom="0.75" header="0.3" footer="0.3"/>
  <pageSetup paperSize="9" fitToHeight="0" orientation="landscape"/>
  <headerFooter>
    <oddFooter>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workbookViewId="0">
      <selection sqref="A1:B3"/>
    </sheetView>
  </sheetViews>
  <sheetFormatPr defaultRowHeight="15" x14ac:dyDescent="0.25"/>
  <cols>
    <col min="1" max="1" width="18" customWidth="1"/>
    <col min="2" max="6" width="15" customWidth="1"/>
    <col min="7" max="7" width="20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32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5" t="s">
        <v>33</v>
      </c>
      <c r="B6" s="14"/>
      <c r="C6" s="14"/>
      <c r="D6" s="14"/>
      <c r="E6" s="14"/>
      <c r="F6" s="14"/>
      <c r="G6" s="14"/>
    </row>
    <row r="7" spans="1:8" x14ac:dyDescent="0.25">
      <c r="A7" s="1" t="s">
        <v>11</v>
      </c>
      <c r="B7" s="2"/>
      <c r="C7" s="1" t="s">
        <v>34</v>
      </c>
      <c r="D7" s="2"/>
      <c r="E7" s="1" t="s">
        <v>35</v>
      </c>
      <c r="F7" s="13"/>
      <c r="G7" s="14"/>
    </row>
    <row r="9" spans="1:8" x14ac:dyDescent="0.25">
      <c r="A9" s="21" t="s">
        <v>36</v>
      </c>
      <c r="B9" s="14"/>
      <c r="C9" s="14"/>
      <c r="D9" s="20" t="s">
        <v>37</v>
      </c>
      <c r="E9" s="14"/>
      <c r="F9" s="14"/>
      <c r="G9" s="14"/>
    </row>
    <row r="10" spans="1:8" ht="21.95" customHeight="1" x14ac:dyDescent="0.25">
      <c r="A10" s="14"/>
      <c r="B10" s="14"/>
      <c r="C10" s="14"/>
      <c r="D10" s="1" t="s">
        <v>38</v>
      </c>
      <c r="E10" s="19"/>
      <c r="F10" s="14"/>
      <c r="G10" s="14"/>
    </row>
    <row r="11" spans="1:8" ht="21.95" customHeight="1" x14ac:dyDescent="0.25">
      <c r="A11" s="14"/>
      <c r="B11" s="14"/>
      <c r="C11" s="14"/>
      <c r="D11" s="1" t="s">
        <v>39</v>
      </c>
      <c r="E11" s="19"/>
      <c r="F11" s="14"/>
      <c r="G11" s="14"/>
    </row>
    <row r="12" spans="1:8" ht="21.95" customHeight="1" x14ac:dyDescent="0.25">
      <c r="A12" s="14"/>
      <c r="B12" s="14"/>
      <c r="C12" s="14"/>
      <c r="D12" s="1" t="s">
        <v>40</v>
      </c>
      <c r="E12" s="19"/>
      <c r="F12" s="14"/>
      <c r="G12" s="14"/>
    </row>
    <row r="13" spans="1:8" ht="21.95" customHeight="1" x14ac:dyDescent="0.25">
      <c r="A13" s="14"/>
      <c r="B13" s="14"/>
      <c r="C13" s="14"/>
      <c r="D13" s="1" t="s">
        <v>41</v>
      </c>
      <c r="E13" s="19"/>
      <c r="F13" s="14"/>
      <c r="G13" s="14"/>
    </row>
    <row r="15" spans="1:8" x14ac:dyDescent="0.25">
      <c r="A15" s="15" t="s">
        <v>42</v>
      </c>
      <c r="B15" s="14"/>
      <c r="C15" s="14"/>
      <c r="D15" s="14"/>
      <c r="E15" s="14"/>
      <c r="F15" s="14"/>
      <c r="G15" s="14"/>
    </row>
    <row r="16" spans="1:8" ht="21.95" customHeight="1" x14ac:dyDescent="0.25">
      <c r="A16" s="18" t="s">
        <v>43</v>
      </c>
      <c r="B16" s="14"/>
      <c r="C16" s="14"/>
      <c r="D16" s="23"/>
      <c r="E16" s="14"/>
      <c r="F16" s="14"/>
      <c r="G16" s="14"/>
    </row>
    <row r="17" spans="1:8" ht="21.95" customHeight="1" x14ac:dyDescent="0.25">
      <c r="A17" s="18" t="s">
        <v>44</v>
      </c>
      <c r="B17" s="14"/>
      <c r="C17" s="14"/>
      <c r="D17" s="19"/>
      <c r="E17" s="14"/>
      <c r="F17" s="14"/>
      <c r="G17" s="14"/>
    </row>
    <row r="18" spans="1:8" ht="21.95" customHeight="1" x14ac:dyDescent="0.25">
      <c r="A18" s="18" t="s">
        <v>45</v>
      </c>
      <c r="B18" s="14"/>
      <c r="C18" s="14"/>
      <c r="D18" s="19"/>
      <c r="E18" s="14"/>
      <c r="F18" s="14"/>
      <c r="G18" s="14"/>
    </row>
    <row r="19" spans="1:8" ht="21.95" customHeight="1" x14ac:dyDescent="0.25">
      <c r="A19" s="18" t="s">
        <v>46</v>
      </c>
      <c r="B19" s="14"/>
      <c r="C19" s="14"/>
      <c r="D19" s="19"/>
      <c r="E19" s="14"/>
      <c r="F19" s="14"/>
      <c r="G19" s="14"/>
    </row>
    <row r="21" spans="1:8" x14ac:dyDescent="0.25">
      <c r="A21" s="15" t="s">
        <v>47</v>
      </c>
      <c r="B21" s="14"/>
      <c r="C21" s="14"/>
      <c r="D21" s="14"/>
      <c r="E21" s="14"/>
      <c r="F21" s="14"/>
      <c r="G21" s="14"/>
    </row>
    <row r="22" spans="1:8" x14ac:dyDescent="0.25">
      <c r="A22" s="22"/>
      <c r="B22" s="14"/>
      <c r="C22" s="14"/>
      <c r="D22" s="14"/>
      <c r="E22" s="14"/>
      <c r="F22" s="14"/>
      <c r="G22" s="14"/>
    </row>
    <row r="23" spans="1:8" x14ac:dyDescent="0.25">
      <c r="A23" s="14"/>
      <c r="B23" s="14"/>
      <c r="C23" s="14"/>
      <c r="D23" s="14"/>
      <c r="E23" s="14"/>
      <c r="F23" s="14"/>
      <c r="G23" s="14"/>
    </row>
    <row r="24" spans="1:8" x14ac:dyDescent="0.25">
      <c r="A24" s="14"/>
      <c r="B24" s="14"/>
      <c r="C24" s="14"/>
      <c r="D24" s="14"/>
      <c r="E24" s="14"/>
      <c r="F24" s="14"/>
      <c r="G24" s="14"/>
    </row>
    <row r="25" spans="1:8" x14ac:dyDescent="0.25">
      <c r="A25" s="14"/>
      <c r="B25" s="14"/>
      <c r="C25" s="14"/>
      <c r="D25" s="14"/>
      <c r="E25" s="14"/>
      <c r="F25" s="14"/>
      <c r="G25" s="14"/>
    </row>
    <row r="27" spans="1:8" x14ac:dyDescent="0.25">
      <c r="A27" s="15" t="s">
        <v>27</v>
      </c>
      <c r="B27" s="14"/>
      <c r="C27" s="14"/>
      <c r="D27" s="14"/>
      <c r="E27" s="14"/>
      <c r="F27" s="14"/>
      <c r="G27" s="14"/>
    </row>
    <row r="28" spans="1:8" ht="24.95" customHeight="1" x14ac:dyDescent="0.25">
      <c r="A28" s="1" t="s">
        <v>28</v>
      </c>
      <c r="B28" s="13"/>
      <c r="C28" s="14"/>
      <c r="D28" s="1" t="s">
        <v>29</v>
      </c>
      <c r="E28" s="13"/>
      <c r="F28" s="14"/>
      <c r="G28" s="1" t="s">
        <v>7</v>
      </c>
      <c r="H28" s="2"/>
    </row>
    <row r="29" spans="1:8" ht="24.95" customHeight="1" x14ac:dyDescent="0.25">
      <c r="A29" s="1" t="s">
        <v>30</v>
      </c>
      <c r="B29" s="13"/>
      <c r="C29" s="14"/>
      <c r="D29" s="1" t="s">
        <v>29</v>
      </c>
      <c r="E29" s="13"/>
      <c r="F29" s="14"/>
      <c r="G29" s="1" t="s">
        <v>7</v>
      </c>
      <c r="H29" s="2"/>
    </row>
    <row r="30" spans="1:8" ht="24.95" customHeight="1" x14ac:dyDescent="0.25">
      <c r="A30" s="1" t="s">
        <v>31</v>
      </c>
      <c r="B30" s="13"/>
      <c r="C30" s="14"/>
      <c r="D30" s="1" t="s">
        <v>29</v>
      </c>
      <c r="E30" s="13"/>
      <c r="F30" s="14"/>
      <c r="G30" s="1" t="s">
        <v>7</v>
      </c>
      <c r="H30" s="2"/>
    </row>
  </sheetData>
  <mergeCells count="31">
    <mergeCell ref="E30:F30"/>
    <mergeCell ref="B29:C29"/>
    <mergeCell ref="C2:G2"/>
    <mergeCell ref="A6:G6"/>
    <mergeCell ref="B28:C28"/>
    <mergeCell ref="E12:G12"/>
    <mergeCell ref="A9:C13"/>
    <mergeCell ref="B30:C30"/>
    <mergeCell ref="D17:G17"/>
    <mergeCell ref="A22:G25"/>
    <mergeCell ref="A27:G27"/>
    <mergeCell ref="A21:G21"/>
    <mergeCell ref="D16:G16"/>
    <mergeCell ref="E3:F3"/>
    <mergeCell ref="C3:D3"/>
    <mergeCell ref="A16:C16"/>
    <mergeCell ref="A1:B3"/>
    <mergeCell ref="F7:G7"/>
    <mergeCell ref="E11:G11"/>
    <mergeCell ref="E29:F29"/>
    <mergeCell ref="C1:G1"/>
    <mergeCell ref="A17:C17"/>
    <mergeCell ref="E28:F28"/>
    <mergeCell ref="A15:G15"/>
    <mergeCell ref="D19:G19"/>
    <mergeCell ref="A19:C19"/>
    <mergeCell ref="E10:G10"/>
    <mergeCell ref="D18:G18"/>
    <mergeCell ref="D9:G9"/>
    <mergeCell ref="E13:G13"/>
    <mergeCell ref="A18:C18"/>
  </mergeCells>
  <dataValidations count="1">
    <dataValidation type="list" allowBlank="1" errorTitle="Invalid Status" error="Please select from the list" sqref="D19">
      <formula1>"ACCEPTABLE,MONITOR,REPLACE"</formula1>
    </dataValidation>
  </dataValidation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workbookViewId="0">
      <selection sqref="A1:B3"/>
    </sheetView>
  </sheetViews>
  <sheetFormatPr defaultRowHeight="15" x14ac:dyDescent="0.25"/>
  <cols>
    <col min="1" max="6" width="15" customWidth="1"/>
    <col min="7" max="7" width="20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48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5" t="s">
        <v>33</v>
      </c>
      <c r="B6" s="14"/>
      <c r="C6" s="14"/>
      <c r="D6" s="14"/>
      <c r="E6" s="14"/>
      <c r="F6" s="14"/>
      <c r="G6" s="14"/>
    </row>
    <row r="7" spans="1:8" x14ac:dyDescent="0.25">
      <c r="A7" s="1" t="s">
        <v>11</v>
      </c>
      <c r="B7" s="2"/>
      <c r="C7" s="1" t="s">
        <v>49</v>
      </c>
      <c r="D7" s="2"/>
      <c r="E7" s="1" t="s">
        <v>35</v>
      </c>
      <c r="F7" s="13"/>
      <c r="G7" s="14"/>
    </row>
    <row r="8" spans="1:8" ht="25.5" x14ac:dyDescent="0.25">
      <c r="A8" s="1" t="s">
        <v>50</v>
      </c>
      <c r="B8" s="13"/>
      <c r="C8" s="14"/>
      <c r="D8" s="1" t="s">
        <v>51</v>
      </c>
      <c r="E8" s="4"/>
      <c r="F8" s="1" t="s">
        <v>52</v>
      </c>
      <c r="G8" s="4"/>
    </row>
    <row r="10" spans="1:8" x14ac:dyDescent="0.25">
      <c r="A10" s="20" t="s">
        <v>37</v>
      </c>
      <c r="B10" s="14"/>
      <c r="C10" s="14"/>
      <c r="D10" s="14"/>
      <c r="E10" s="14"/>
      <c r="F10" s="14"/>
      <c r="G10" s="14"/>
    </row>
    <row r="11" spans="1:8" x14ac:dyDescent="0.2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</row>
    <row r="12" spans="1:8" ht="21.95" customHeight="1" x14ac:dyDescent="0.25">
      <c r="A12" s="1" t="s">
        <v>60</v>
      </c>
      <c r="B12" s="4"/>
      <c r="C12" s="4"/>
      <c r="D12" s="4"/>
      <c r="E12" s="7" t="str">
        <f>IF(COUNT(B12:D12)&gt;0,AVERAGE(B12:D12),"")</f>
        <v/>
      </c>
      <c r="F12" s="4"/>
      <c r="G12" s="5" t="str">
        <f>IF(OR(E12="",F12=""),"",IF(E12&gt;=F12,"OK","BELOW Tmin"))</f>
        <v/>
      </c>
    </row>
    <row r="13" spans="1:8" ht="21.95" customHeight="1" x14ac:dyDescent="0.25">
      <c r="A13" s="1" t="s">
        <v>61</v>
      </c>
      <c r="B13" s="4"/>
      <c r="C13" s="4"/>
      <c r="D13" s="4"/>
      <c r="E13" s="7" t="str">
        <f>IF(COUNT(B13:D13)&gt;0,AVERAGE(B13:D13),"")</f>
        <v/>
      </c>
      <c r="F13" s="4"/>
      <c r="G13" s="5" t="str">
        <f>IF(OR(E13="",F13=""),"",IF(E13&gt;=F13,"OK","BELOW Tmin"))</f>
        <v/>
      </c>
    </row>
    <row r="14" spans="1:8" ht="21.95" customHeight="1" x14ac:dyDescent="0.25">
      <c r="A14" s="1" t="s">
        <v>62</v>
      </c>
      <c r="B14" s="4"/>
      <c r="C14" s="4"/>
      <c r="D14" s="4"/>
      <c r="E14" s="7" t="str">
        <f>IF(COUNT(B14:D14)&gt;0,AVERAGE(B14:D14),"")</f>
        <v/>
      </c>
      <c r="F14" s="4"/>
      <c r="G14" s="5" t="str">
        <f>IF(OR(E14="",F14=""),"",IF(E14&gt;=F14,"OK","BELOW Tmin"))</f>
        <v/>
      </c>
    </row>
    <row r="15" spans="1:8" ht="21.95" customHeight="1" x14ac:dyDescent="0.25">
      <c r="A15" s="1" t="s">
        <v>63</v>
      </c>
      <c r="B15" s="4"/>
      <c r="C15" s="4"/>
      <c r="D15" s="4"/>
      <c r="E15" s="7" t="str">
        <f>IF(COUNT(B15:D15)&gt;0,AVERAGE(B15:D15),"")</f>
        <v/>
      </c>
      <c r="F15" s="4"/>
      <c r="G15" s="5" t="str">
        <f>IF(OR(E15="",F15=""),"",IF(E15&gt;=F15,"OK","BELOW Tmin"))</f>
        <v/>
      </c>
    </row>
    <row r="16" spans="1:8" ht="21.95" customHeight="1" x14ac:dyDescent="0.25">
      <c r="A16" s="1" t="s">
        <v>64</v>
      </c>
      <c r="B16" s="4"/>
      <c r="C16" s="4"/>
      <c r="D16" s="4"/>
      <c r="E16" s="7" t="str">
        <f>IF(COUNT(B16:D16)&gt;0,AVERAGE(B16:D16),"")</f>
        <v/>
      </c>
      <c r="F16" s="4"/>
      <c r="G16" s="5" t="str">
        <f>IF(OR(E16="",F16=""),"",IF(E16&gt;=F16,"OK","BELOW Tmin"))</f>
        <v/>
      </c>
    </row>
    <row r="18" spans="1:8" x14ac:dyDescent="0.25">
      <c r="A18" s="18" t="s">
        <v>65</v>
      </c>
      <c r="B18" s="14"/>
      <c r="C18" s="14"/>
      <c r="D18" s="7" t="str">
        <f>IF(COUNT(E12:E16)&gt;0,MIN(E12:E16),"")</f>
        <v/>
      </c>
    </row>
    <row r="20" spans="1:8" x14ac:dyDescent="0.25">
      <c r="A20" s="15" t="s">
        <v>66</v>
      </c>
      <c r="B20" s="14"/>
      <c r="C20" s="14"/>
      <c r="D20" s="14"/>
      <c r="E20" s="14"/>
      <c r="F20" s="14"/>
      <c r="G20" s="14"/>
    </row>
    <row r="21" spans="1:8" x14ac:dyDescent="0.25">
      <c r="A21" s="22"/>
      <c r="B21" s="14"/>
      <c r="C21" s="14"/>
      <c r="D21" s="14"/>
      <c r="E21" s="14"/>
      <c r="F21" s="14"/>
      <c r="G21" s="14"/>
    </row>
    <row r="22" spans="1:8" x14ac:dyDescent="0.25">
      <c r="A22" s="14"/>
      <c r="B22" s="14"/>
      <c r="C22" s="14"/>
      <c r="D22" s="14"/>
      <c r="E22" s="14"/>
      <c r="F22" s="14"/>
      <c r="G22" s="14"/>
    </row>
    <row r="23" spans="1:8" x14ac:dyDescent="0.25">
      <c r="A23" s="14"/>
      <c r="B23" s="14"/>
      <c r="C23" s="14"/>
      <c r="D23" s="14"/>
      <c r="E23" s="14"/>
      <c r="F23" s="14"/>
      <c r="G23" s="14"/>
    </row>
    <row r="24" spans="1:8" x14ac:dyDescent="0.25">
      <c r="A24" s="14"/>
      <c r="B24" s="14"/>
      <c r="C24" s="14"/>
      <c r="D24" s="14"/>
      <c r="E24" s="14"/>
      <c r="F24" s="14"/>
      <c r="G24" s="14"/>
    </row>
    <row r="25" spans="1:8" x14ac:dyDescent="0.25">
      <c r="A25" s="14"/>
      <c r="B25" s="14"/>
      <c r="C25" s="14"/>
      <c r="D25" s="14"/>
      <c r="E25" s="14"/>
      <c r="F25" s="14"/>
      <c r="G25" s="14"/>
    </row>
    <row r="27" spans="1:8" x14ac:dyDescent="0.25">
      <c r="A27" s="15" t="s">
        <v>27</v>
      </c>
      <c r="B27" s="14"/>
      <c r="C27" s="14"/>
      <c r="D27" s="14"/>
      <c r="E27" s="14"/>
      <c r="F27" s="14"/>
      <c r="G27" s="14"/>
    </row>
    <row r="28" spans="1:8" ht="24.95" customHeight="1" x14ac:dyDescent="0.25">
      <c r="A28" s="1" t="s">
        <v>28</v>
      </c>
      <c r="B28" s="13"/>
      <c r="C28" s="14"/>
      <c r="D28" s="1" t="s">
        <v>29</v>
      </c>
      <c r="E28" s="13"/>
      <c r="F28" s="14"/>
      <c r="G28" s="1" t="s">
        <v>7</v>
      </c>
      <c r="H28" s="2"/>
    </row>
    <row r="29" spans="1:8" ht="24.95" customHeight="1" x14ac:dyDescent="0.25">
      <c r="A29" s="1" t="s">
        <v>30</v>
      </c>
      <c r="B29" s="13"/>
      <c r="C29" s="14"/>
      <c r="D29" s="1" t="s">
        <v>29</v>
      </c>
      <c r="E29" s="13"/>
      <c r="F29" s="14"/>
      <c r="G29" s="1" t="s">
        <v>7</v>
      </c>
      <c r="H29" s="2"/>
    </row>
    <row r="30" spans="1:8" ht="24.95" customHeight="1" x14ac:dyDescent="0.25">
      <c r="A30" s="1" t="s">
        <v>31</v>
      </c>
      <c r="B30" s="13"/>
      <c r="C30" s="14"/>
      <c r="D30" s="1" t="s">
        <v>29</v>
      </c>
      <c r="E30" s="13"/>
      <c r="F30" s="14"/>
      <c r="G30" s="1" t="s">
        <v>7</v>
      </c>
      <c r="H30" s="2"/>
    </row>
  </sheetData>
  <mergeCells count="19">
    <mergeCell ref="E29:F29"/>
    <mergeCell ref="C1:G1"/>
    <mergeCell ref="E28:F28"/>
    <mergeCell ref="B8:C8"/>
    <mergeCell ref="E30:F30"/>
    <mergeCell ref="B29:C29"/>
    <mergeCell ref="C2:G2"/>
    <mergeCell ref="A6:G6"/>
    <mergeCell ref="B28:C28"/>
    <mergeCell ref="B30:C30"/>
    <mergeCell ref="A27:G27"/>
    <mergeCell ref="C3:D3"/>
    <mergeCell ref="E3:F3"/>
    <mergeCell ref="A21:G25"/>
    <mergeCell ref="A18:C18"/>
    <mergeCell ref="A20:G20"/>
    <mergeCell ref="A1:B3"/>
    <mergeCell ref="A10:G10"/>
    <mergeCell ref="F7:G7"/>
  </mergeCells>
  <dataValidations count="1">
    <dataValidation type="list" allowBlank="1" sqref="E8 G8">
      <formula1>"Yes,No,Partial"</formula1>
    </dataValidation>
  </dataValidation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pane ySplit="26" topLeftCell="A27" activePane="bottomLeft" state="frozen"/>
      <selection pane="bottomLeft" activeCell="J19" sqref="J19"/>
    </sheetView>
  </sheetViews>
  <sheetFormatPr defaultRowHeight="15" x14ac:dyDescent="0.25"/>
  <cols>
    <col min="1" max="1" width="12" customWidth="1"/>
    <col min="2" max="2" width="18" customWidth="1"/>
    <col min="3" max="6" width="15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67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ht="25.5" x14ac:dyDescent="0.25">
      <c r="A6" s="1" t="s">
        <v>68</v>
      </c>
      <c r="B6" s="13"/>
      <c r="C6" s="14"/>
      <c r="D6" s="1" t="s">
        <v>69</v>
      </c>
      <c r="E6" s="13"/>
      <c r="F6" s="14"/>
    </row>
    <row r="8" spans="1:8" x14ac:dyDescent="0.25">
      <c r="A8" s="15" t="s">
        <v>70</v>
      </c>
      <c r="B8" s="14"/>
      <c r="C8" s="14"/>
      <c r="D8" s="14"/>
      <c r="E8" s="14"/>
      <c r="F8" s="14"/>
    </row>
    <row r="9" spans="1:8" ht="21.95" customHeight="1" x14ac:dyDescent="0.25">
      <c r="A9" s="24" t="s">
        <v>71</v>
      </c>
      <c r="B9" s="14"/>
      <c r="C9" s="14"/>
      <c r="D9" s="14"/>
      <c r="E9" s="14"/>
      <c r="F9" s="14"/>
    </row>
    <row r="10" spans="1:8" ht="21.95" customHeight="1" x14ac:dyDescent="0.25">
      <c r="A10" s="14"/>
      <c r="B10" s="14"/>
      <c r="C10" s="14"/>
      <c r="D10" s="14"/>
      <c r="E10" s="14"/>
      <c r="F10" s="14"/>
    </row>
    <row r="11" spans="1:8" ht="21.95" customHeight="1" x14ac:dyDescent="0.25">
      <c r="A11" s="14"/>
      <c r="B11" s="14"/>
      <c r="C11" s="14"/>
      <c r="D11" s="14"/>
      <c r="E11" s="14"/>
      <c r="F11" s="14"/>
    </row>
    <row r="12" spans="1:8" ht="21.95" customHeight="1" x14ac:dyDescent="0.25">
      <c r="A12" s="14"/>
      <c r="B12" s="14"/>
      <c r="C12" s="14"/>
      <c r="D12" s="14"/>
      <c r="E12" s="14"/>
      <c r="F12" s="14"/>
    </row>
    <row r="13" spans="1:8" ht="21.95" customHeight="1" x14ac:dyDescent="0.25">
      <c r="A13" s="14"/>
      <c r="B13" s="14"/>
      <c r="C13" s="14"/>
      <c r="D13" s="14"/>
      <c r="E13" s="14"/>
      <c r="F13" s="14"/>
    </row>
    <row r="14" spans="1:8" ht="21.95" customHeight="1" x14ac:dyDescent="0.25">
      <c r="A14" s="14"/>
      <c r="B14" s="14"/>
      <c r="C14" s="14"/>
      <c r="D14" s="14"/>
      <c r="E14" s="14"/>
      <c r="F14" s="14"/>
    </row>
    <row r="15" spans="1:8" ht="21.95" customHeight="1" x14ac:dyDescent="0.25">
      <c r="A15" s="14"/>
      <c r="B15" s="14"/>
      <c r="C15" s="14"/>
      <c r="D15" s="14"/>
      <c r="E15" s="14"/>
      <c r="F15" s="14"/>
    </row>
    <row r="16" spans="1:8" ht="21.95" customHeight="1" x14ac:dyDescent="0.25">
      <c r="A16" s="14"/>
      <c r="B16" s="14"/>
      <c r="C16" s="14"/>
      <c r="D16" s="14"/>
      <c r="E16" s="14"/>
      <c r="F16" s="14"/>
    </row>
    <row r="17" spans="1:6" ht="21.95" customHeight="1" x14ac:dyDescent="0.25">
      <c r="A17" s="14"/>
      <c r="B17" s="14"/>
      <c r="C17" s="14"/>
      <c r="D17" s="14"/>
      <c r="E17" s="14"/>
      <c r="F17" s="14"/>
    </row>
    <row r="18" spans="1:6" ht="21.95" customHeight="1" x14ac:dyDescent="0.25">
      <c r="A18" s="14"/>
      <c r="B18" s="14"/>
      <c r="C18" s="14"/>
      <c r="D18" s="14"/>
      <c r="E18" s="14"/>
      <c r="F18" s="14"/>
    </row>
    <row r="19" spans="1:6" ht="21.95" customHeight="1" x14ac:dyDescent="0.25">
      <c r="A19" s="14"/>
      <c r="B19" s="14"/>
      <c r="C19" s="14"/>
      <c r="D19" s="14"/>
      <c r="E19" s="14"/>
      <c r="F19" s="14"/>
    </row>
    <row r="20" spans="1:6" ht="21.95" customHeight="1" x14ac:dyDescent="0.25">
      <c r="A20" s="14"/>
      <c r="B20" s="14"/>
      <c r="C20" s="14"/>
      <c r="D20" s="14"/>
      <c r="E20" s="14"/>
      <c r="F20" s="14"/>
    </row>
    <row r="21" spans="1:6" ht="21.95" customHeight="1" x14ac:dyDescent="0.25">
      <c r="A21" s="14"/>
      <c r="B21" s="14"/>
      <c r="C21" s="14"/>
      <c r="D21" s="14"/>
      <c r="E21" s="14"/>
      <c r="F21" s="14"/>
    </row>
    <row r="22" spans="1:6" ht="21.95" customHeight="1" x14ac:dyDescent="0.25">
      <c r="A22" s="14"/>
      <c r="B22" s="14"/>
      <c r="C22" s="14"/>
      <c r="D22" s="14"/>
      <c r="E22" s="14"/>
      <c r="F22" s="14"/>
    </row>
    <row r="23" spans="1:6" ht="18.75" customHeight="1" x14ac:dyDescent="0.25">
      <c r="A23" s="14"/>
      <c r="B23" s="14"/>
      <c r="C23" s="14"/>
      <c r="D23" s="14"/>
      <c r="E23" s="14"/>
      <c r="F23" s="14"/>
    </row>
    <row r="24" spans="1:6" hidden="1" x14ac:dyDescent="0.25"/>
    <row r="25" spans="1:6" x14ac:dyDescent="0.25">
      <c r="A25" s="15" t="s">
        <v>72</v>
      </c>
      <c r="B25" s="14"/>
      <c r="C25" s="14"/>
      <c r="D25" s="14"/>
      <c r="E25" s="14"/>
      <c r="F25" s="14"/>
    </row>
    <row r="26" spans="1:6" x14ac:dyDescent="0.25">
      <c r="A26" s="3" t="s">
        <v>19</v>
      </c>
      <c r="B26" s="3" t="s">
        <v>73</v>
      </c>
      <c r="C26" s="3" t="s">
        <v>74</v>
      </c>
      <c r="D26" s="3" t="s">
        <v>75</v>
      </c>
      <c r="E26" s="3" t="s">
        <v>76</v>
      </c>
      <c r="F26" s="3" t="s">
        <v>77</v>
      </c>
    </row>
    <row r="27" spans="1:6" ht="20.100000000000001" customHeight="1" x14ac:dyDescent="0.25">
      <c r="A27" s="4"/>
      <c r="B27" s="2"/>
      <c r="C27" s="4"/>
      <c r="D27" s="4"/>
      <c r="E27" s="4"/>
      <c r="F27" s="2"/>
    </row>
    <row r="28" spans="1:6" ht="20.100000000000001" customHeight="1" x14ac:dyDescent="0.25">
      <c r="A28" s="4"/>
      <c r="B28" s="2"/>
      <c r="C28" s="4"/>
      <c r="D28" s="4"/>
      <c r="E28" s="4"/>
      <c r="F28" s="2"/>
    </row>
    <row r="29" spans="1:6" ht="20.100000000000001" customHeight="1" x14ac:dyDescent="0.25">
      <c r="A29" s="4"/>
      <c r="B29" s="2"/>
      <c r="C29" s="4"/>
      <c r="D29" s="4"/>
      <c r="E29" s="4"/>
      <c r="F29" s="2"/>
    </row>
    <row r="30" spans="1:6" ht="20.100000000000001" customHeight="1" x14ac:dyDescent="0.25">
      <c r="A30" s="4"/>
      <c r="B30" s="2"/>
      <c r="C30" s="4"/>
      <c r="D30" s="4"/>
      <c r="E30" s="4"/>
      <c r="F30" s="2"/>
    </row>
    <row r="31" spans="1:6" ht="20.100000000000001" customHeight="1" x14ac:dyDescent="0.25">
      <c r="A31" s="4"/>
      <c r="B31" s="2"/>
      <c r="C31" s="4"/>
      <c r="D31" s="4"/>
      <c r="E31" s="4"/>
      <c r="F31" s="2"/>
    </row>
    <row r="32" spans="1:6" ht="20.100000000000001" customHeight="1" x14ac:dyDescent="0.25">
      <c r="A32" s="4"/>
      <c r="B32" s="2"/>
      <c r="C32" s="4"/>
      <c r="D32" s="4"/>
      <c r="E32" s="4"/>
      <c r="F32" s="2"/>
    </row>
    <row r="33" spans="1:8" ht="20.100000000000001" customHeight="1" x14ac:dyDescent="0.25">
      <c r="A33" s="4"/>
      <c r="B33" s="2"/>
      <c r="C33" s="4"/>
      <c r="D33" s="4"/>
      <c r="E33" s="4"/>
      <c r="F33" s="2"/>
    </row>
    <row r="34" spans="1:8" ht="20.100000000000001" customHeight="1" x14ac:dyDescent="0.25">
      <c r="A34" s="4"/>
      <c r="B34" s="2"/>
      <c r="C34" s="4"/>
      <c r="D34" s="4"/>
      <c r="E34" s="4"/>
      <c r="F34" s="2"/>
    </row>
    <row r="35" spans="1:8" ht="20.100000000000001" customHeight="1" x14ac:dyDescent="0.25">
      <c r="A35" s="4"/>
      <c r="B35" s="2"/>
      <c r="C35" s="4"/>
      <c r="D35" s="4"/>
      <c r="E35" s="4"/>
      <c r="F35" s="2"/>
    </row>
    <row r="36" spans="1:8" ht="20.100000000000001" customHeight="1" x14ac:dyDescent="0.25">
      <c r="A36" s="4"/>
      <c r="B36" s="2"/>
      <c r="C36" s="4"/>
      <c r="D36" s="4"/>
      <c r="E36" s="4"/>
      <c r="F36" s="2"/>
    </row>
    <row r="37" spans="1:8" ht="20.100000000000001" customHeight="1" x14ac:dyDescent="0.25">
      <c r="A37" s="4"/>
      <c r="B37" s="2"/>
      <c r="C37" s="4"/>
      <c r="D37" s="4"/>
      <c r="E37" s="4"/>
      <c r="F37" s="2"/>
    </row>
    <row r="38" spans="1:8" ht="20.100000000000001" customHeight="1" x14ac:dyDescent="0.25">
      <c r="A38" s="4"/>
      <c r="B38" s="2"/>
      <c r="C38" s="4"/>
      <c r="D38" s="4"/>
      <c r="E38" s="4"/>
      <c r="F38" s="2"/>
    </row>
    <row r="39" spans="1:8" ht="20.100000000000001" customHeight="1" x14ac:dyDescent="0.25">
      <c r="A39" s="4"/>
      <c r="B39" s="2"/>
      <c r="C39" s="4"/>
      <c r="D39" s="4"/>
      <c r="E39" s="4"/>
      <c r="F39" s="2"/>
    </row>
    <row r="40" spans="1:8" ht="20.100000000000001" customHeight="1" x14ac:dyDescent="0.25">
      <c r="A40" s="4"/>
      <c r="B40" s="2"/>
      <c r="C40" s="4"/>
      <c r="D40" s="4"/>
      <c r="E40" s="4"/>
      <c r="F40" s="2"/>
    </row>
    <row r="41" spans="1:8" ht="20.100000000000001" customHeight="1" x14ac:dyDescent="0.25">
      <c r="A41" s="4"/>
      <c r="B41" s="2"/>
      <c r="C41" s="4"/>
      <c r="D41" s="4"/>
      <c r="E41" s="4"/>
      <c r="F41" s="2"/>
    </row>
    <row r="43" spans="1:8" x14ac:dyDescent="0.25">
      <c r="A43" s="15" t="s">
        <v>27</v>
      </c>
      <c r="B43" s="14"/>
      <c r="C43" s="14"/>
      <c r="D43" s="14"/>
      <c r="E43" s="14"/>
      <c r="F43" s="14"/>
    </row>
    <row r="44" spans="1:8" ht="24.95" customHeight="1" x14ac:dyDescent="0.25">
      <c r="A44" s="1" t="s">
        <v>28</v>
      </c>
      <c r="B44" s="13"/>
      <c r="C44" s="14"/>
      <c r="D44" s="1" t="s">
        <v>29</v>
      </c>
      <c r="E44" s="13"/>
      <c r="F44" s="14"/>
      <c r="G44" s="1" t="s">
        <v>7</v>
      </c>
      <c r="H44" s="2"/>
    </row>
    <row r="45" spans="1:8" ht="24.95" customHeight="1" x14ac:dyDescent="0.25">
      <c r="A45" s="1" t="s">
        <v>30</v>
      </c>
      <c r="B45" s="13"/>
      <c r="C45" s="14"/>
      <c r="D45" s="1" t="s">
        <v>29</v>
      </c>
      <c r="E45" s="13"/>
      <c r="F45" s="14"/>
      <c r="G45" s="1" t="s">
        <v>7</v>
      </c>
      <c r="H45" s="2"/>
    </row>
    <row r="46" spans="1:8" ht="24.95" customHeight="1" x14ac:dyDescent="0.25">
      <c r="A46" s="1" t="s">
        <v>31</v>
      </c>
      <c r="B46" s="13"/>
      <c r="C46" s="14"/>
      <c r="D46" s="1" t="s">
        <v>29</v>
      </c>
      <c r="E46" s="13"/>
      <c r="F46" s="14"/>
      <c r="G46" s="1" t="s">
        <v>7</v>
      </c>
      <c r="H46" s="2"/>
    </row>
  </sheetData>
  <mergeCells count="17">
    <mergeCell ref="C1:G1"/>
    <mergeCell ref="A9:F23"/>
    <mergeCell ref="A8:F8"/>
    <mergeCell ref="E44:F44"/>
    <mergeCell ref="B45:C45"/>
    <mergeCell ref="E45:F45"/>
    <mergeCell ref="C3:D3"/>
    <mergeCell ref="A1:B3"/>
    <mergeCell ref="E3:F3"/>
    <mergeCell ref="A25:F25"/>
    <mergeCell ref="A43:F43"/>
    <mergeCell ref="B6:C6"/>
    <mergeCell ref="B44:C44"/>
    <mergeCell ref="E6:F6"/>
    <mergeCell ref="E46:F46"/>
    <mergeCell ref="C2:G2"/>
    <mergeCell ref="B46:C46"/>
  </mergeCell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workbookViewId="0">
      <pane ySplit="9" topLeftCell="A10" activePane="bottomLeft" state="frozen"/>
      <selection pane="bottomLeft" sqref="A1:B3"/>
    </sheetView>
  </sheetViews>
  <sheetFormatPr defaultRowHeight="15" x14ac:dyDescent="0.25"/>
  <cols>
    <col min="1" max="7" width="12" customWidth="1"/>
    <col min="8" max="8" width="25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78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5" t="s">
        <v>79</v>
      </c>
      <c r="B6" s="14"/>
      <c r="C6" s="14"/>
      <c r="D6" s="14"/>
      <c r="E6" s="14"/>
      <c r="F6" s="14"/>
      <c r="G6" s="14"/>
      <c r="H6" s="14"/>
    </row>
    <row r="7" spans="1:8" x14ac:dyDescent="0.25">
      <c r="A7" s="1" t="s">
        <v>80</v>
      </c>
      <c r="B7" s="2"/>
      <c r="C7" s="1" t="s">
        <v>81</v>
      </c>
      <c r="D7" s="2"/>
      <c r="E7" s="1" t="s">
        <v>82</v>
      </c>
      <c r="F7" s="2"/>
      <c r="G7" s="1" t="s">
        <v>7</v>
      </c>
      <c r="H7" s="2"/>
    </row>
    <row r="9" spans="1:8" ht="27.95" customHeight="1" x14ac:dyDescent="0.25">
      <c r="A9" s="3" t="s">
        <v>19</v>
      </c>
      <c r="B9" s="3" t="s">
        <v>83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76</v>
      </c>
      <c r="H9" s="3" t="s">
        <v>77</v>
      </c>
    </row>
    <row r="10" spans="1:8" ht="20.100000000000001" customHeight="1" x14ac:dyDescent="0.25">
      <c r="A10" s="4"/>
      <c r="B10" s="4"/>
      <c r="C10" s="4"/>
      <c r="D10" s="4"/>
      <c r="E10" s="4"/>
      <c r="F10" s="7" t="str">
        <f t="shared" ref="F10:F44" si="0">IF(COUNT(B10:E10)&gt;0,MIN(B10:E10),"")</f>
        <v/>
      </c>
      <c r="G10" s="4"/>
      <c r="H10" s="2"/>
    </row>
    <row r="11" spans="1:8" ht="20.100000000000001" customHeight="1" x14ac:dyDescent="0.25">
      <c r="A11" s="4"/>
      <c r="B11" s="4"/>
      <c r="C11" s="4"/>
      <c r="D11" s="4"/>
      <c r="E11" s="4"/>
      <c r="F11" s="7" t="str">
        <f t="shared" si="0"/>
        <v/>
      </c>
      <c r="G11" s="4"/>
      <c r="H11" s="2"/>
    </row>
    <row r="12" spans="1:8" ht="20.100000000000001" customHeight="1" x14ac:dyDescent="0.25">
      <c r="A12" s="4"/>
      <c r="B12" s="4"/>
      <c r="C12" s="4"/>
      <c r="D12" s="4"/>
      <c r="E12" s="4"/>
      <c r="F12" s="7" t="str">
        <f t="shared" si="0"/>
        <v/>
      </c>
      <c r="G12" s="4"/>
      <c r="H12" s="2"/>
    </row>
    <row r="13" spans="1:8" ht="20.100000000000001" customHeight="1" x14ac:dyDescent="0.25">
      <c r="A13" s="4"/>
      <c r="B13" s="4"/>
      <c r="C13" s="4"/>
      <c r="D13" s="4"/>
      <c r="E13" s="4"/>
      <c r="F13" s="7" t="str">
        <f t="shared" si="0"/>
        <v/>
      </c>
      <c r="G13" s="4"/>
      <c r="H13" s="2"/>
    </row>
    <row r="14" spans="1:8" ht="20.100000000000001" customHeight="1" x14ac:dyDescent="0.25">
      <c r="A14" s="4"/>
      <c r="B14" s="4"/>
      <c r="C14" s="4"/>
      <c r="D14" s="4"/>
      <c r="E14" s="4"/>
      <c r="F14" s="7" t="str">
        <f t="shared" si="0"/>
        <v/>
      </c>
      <c r="G14" s="4"/>
      <c r="H14" s="2"/>
    </row>
    <row r="15" spans="1:8" ht="20.100000000000001" customHeight="1" x14ac:dyDescent="0.25">
      <c r="A15" s="4"/>
      <c r="B15" s="4"/>
      <c r="C15" s="4"/>
      <c r="D15" s="4"/>
      <c r="E15" s="4"/>
      <c r="F15" s="7" t="str">
        <f t="shared" si="0"/>
        <v/>
      </c>
      <c r="G15" s="4"/>
      <c r="H15" s="2"/>
    </row>
    <row r="16" spans="1:8" ht="20.100000000000001" customHeight="1" x14ac:dyDescent="0.25">
      <c r="A16" s="4"/>
      <c r="B16" s="4"/>
      <c r="C16" s="4"/>
      <c r="D16" s="4"/>
      <c r="E16" s="4"/>
      <c r="F16" s="7" t="str">
        <f t="shared" si="0"/>
        <v/>
      </c>
      <c r="G16" s="4"/>
      <c r="H16" s="2"/>
    </row>
    <row r="17" spans="1:8" ht="20.100000000000001" customHeight="1" x14ac:dyDescent="0.25">
      <c r="A17" s="4"/>
      <c r="B17" s="4"/>
      <c r="C17" s="4"/>
      <c r="D17" s="4"/>
      <c r="E17" s="4"/>
      <c r="F17" s="7" t="str">
        <f t="shared" si="0"/>
        <v/>
      </c>
      <c r="G17" s="4"/>
      <c r="H17" s="2"/>
    </row>
    <row r="18" spans="1:8" ht="20.100000000000001" customHeight="1" x14ac:dyDescent="0.25">
      <c r="A18" s="4"/>
      <c r="B18" s="4"/>
      <c r="C18" s="4"/>
      <c r="D18" s="4"/>
      <c r="E18" s="4"/>
      <c r="F18" s="7" t="str">
        <f t="shared" si="0"/>
        <v/>
      </c>
      <c r="G18" s="4"/>
      <c r="H18" s="2"/>
    </row>
    <row r="19" spans="1:8" ht="20.100000000000001" customHeight="1" x14ac:dyDescent="0.25">
      <c r="A19" s="4"/>
      <c r="B19" s="4"/>
      <c r="C19" s="4"/>
      <c r="D19" s="4"/>
      <c r="E19" s="4"/>
      <c r="F19" s="7" t="str">
        <f t="shared" si="0"/>
        <v/>
      </c>
      <c r="G19" s="4"/>
      <c r="H19" s="2"/>
    </row>
    <row r="20" spans="1:8" ht="20.100000000000001" customHeight="1" x14ac:dyDescent="0.25">
      <c r="A20" s="4"/>
      <c r="B20" s="4"/>
      <c r="C20" s="4"/>
      <c r="D20" s="4"/>
      <c r="E20" s="4"/>
      <c r="F20" s="7" t="str">
        <f t="shared" si="0"/>
        <v/>
      </c>
      <c r="G20" s="4"/>
      <c r="H20" s="2"/>
    </row>
    <row r="21" spans="1:8" ht="20.100000000000001" customHeight="1" x14ac:dyDescent="0.25">
      <c r="A21" s="4"/>
      <c r="B21" s="4"/>
      <c r="C21" s="4"/>
      <c r="D21" s="4"/>
      <c r="E21" s="4"/>
      <c r="F21" s="7" t="str">
        <f t="shared" si="0"/>
        <v/>
      </c>
      <c r="G21" s="4"/>
      <c r="H21" s="2"/>
    </row>
    <row r="22" spans="1:8" ht="20.100000000000001" customHeight="1" x14ac:dyDescent="0.25">
      <c r="A22" s="4"/>
      <c r="B22" s="4"/>
      <c r="C22" s="4"/>
      <c r="D22" s="4"/>
      <c r="E22" s="4"/>
      <c r="F22" s="7" t="str">
        <f t="shared" si="0"/>
        <v/>
      </c>
      <c r="G22" s="4"/>
      <c r="H22" s="2"/>
    </row>
    <row r="23" spans="1:8" ht="20.100000000000001" customHeight="1" x14ac:dyDescent="0.25">
      <c r="A23" s="4"/>
      <c r="B23" s="4"/>
      <c r="C23" s="4"/>
      <c r="D23" s="4"/>
      <c r="E23" s="4"/>
      <c r="F23" s="7" t="str">
        <f t="shared" si="0"/>
        <v/>
      </c>
      <c r="G23" s="4"/>
      <c r="H23" s="2"/>
    </row>
    <row r="24" spans="1:8" ht="20.100000000000001" customHeight="1" x14ac:dyDescent="0.25">
      <c r="A24" s="4"/>
      <c r="B24" s="4"/>
      <c r="C24" s="4"/>
      <c r="D24" s="4"/>
      <c r="E24" s="4"/>
      <c r="F24" s="7" t="str">
        <f t="shared" si="0"/>
        <v/>
      </c>
      <c r="G24" s="4"/>
      <c r="H24" s="2"/>
    </row>
    <row r="25" spans="1:8" ht="20.100000000000001" customHeight="1" x14ac:dyDescent="0.25">
      <c r="A25" s="4"/>
      <c r="B25" s="4"/>
      <c r="C25" s="4"/>
      <c r="D25" s="4"/>
      <c r="E25" s="4"/>
      <c r="F25" s="7" t="str">
        <f t="shared" si="0"/>
        <v/>
      </c>
      <c r="G25" s="4"/>
      <c r="H25" s="2"/>
    </row>
    <row r="26" spans="1:8" ht="20.100000000000001" customHeight="1" x14ac:dyDescent="0.25">
      <c r="A26" s="4"/>
      <c r="B26" s="4"/>
      <c r="C26" s="4"/>
      <c r="D26" s="4"/>
      <c r="E26" s="4"/>
      <c r="F26" s="7" t="str">
        <f t="shared" si="0"/>
        <v/>
      </c>
      <c r="G26" s="4"/>
      <c r="H26" s="2"/>
    </row>
    <row r="27" spans="1:8" ht="20.100000000000001" customHeight="1" x14ac:dyDescent="0.25">
      <c r="A27" s="4"/>
      <c r="B27" s="4"/>
      <c r="C27" s="4"/>
      <c r="D27" s="4"/>
      <c r="E27" s="4"/>
      <c r="F27" s="7" t="str">
        <f t="shared" si="0"/>
        <v/>
      </c>
      <c r="G27" s="4"/>
      <c r="H27" s="2"/>
    </row>
    <row r="28" spans="1:8" ht="20.100000000000001" customHeight="1" x14ac:dyDescent="0.25">
      <c r="A28" s="4"/>
      <c r="B28" s="4"/>
      <c r="C28" s="4"/>
      <c r="D28" s="4"/>
      <c r="E28" s="4"/>
      <c r="F28" s="7" t="str">
        <f t="shared" si="0"/>
        <v/>
      </c>
      <c r="G28" s="4"/>
      <c r="H28" s="2"/>
    </row>
    <row r="29" spans="1:8" ht="20.100000000000001" customHeight="1" x14ac:dyDescent="0.25">
      <c r="A29" s="4"/>
      <c r="B29" s="4"/>
      <c r="C29" s="4"/>
      <c r="D29" s="4"/>
      <c r="E29" s="4"/>
      <c r="F29" s="7" t="str">
        <f t="shared" si="0"/>
        <v/>
      </c>
      <c r="G29" s="4"/>
      <c r="H29" s="2"/>
    </row>
    <row r="30" spans="1:8" ht="20.100000000000001" customHeight="1" x14ac:dyDescent="0.25">
      <c r="A30" s="4"/>
      <c r="B30" s="4"/>
      <c r="C30" s="4"/>
      <c r="D30" s="4"/>
      <c r="E30" s="4"/>
      <c r="F30" s="7" t="str">
        <f t="shared" si="0"/>
        <v/>
      </c>
      <c r="G30" s="4"/>
      <c r="H30" s="2"/>
    </row>
    <row r="31" spans="1:8" ht="20.100000000000001" customHeight="1" x14ac:dyDescent="0.25">
      <c r="A31" s="4"/>
      <c r="B31" s="4"/>
      <c r="C31" s="4"/>
      <c r="D31" s="4"/>
      <c r="E31" s="4"/>
      <c r="F31" s="7" t="str">
        <f t="shared" si="0"/>
        <v/>
      </c>
      <c r="G31" s="4"/>
      <c r="H31" s="2"/>
    </row>
    <row r="32" spans="1:8" ht="20.100000000000001" customHeight="1" x14ac:dyDescent="0.25">
      <c r="A32" s="4"/>
      <c r="B32" s="4"/>
      <c r="C32" s="4"/>
      <c r="D32" s="4"/>
      <c r="E32" s="4"/>
      <c r="F32" s="7" t="str">
        <f t="shared" si="0"/>
        <v/>
      </c>
      <c r="G32" s="4"/>
      <c r="H32" s="2"/>
    </row>
    <row r="33" spans="1:8" ht="20.100000000000001" customHeight="1" x14ac:dyDescent="0.25">
      <c r="A33" s="4"/>
      <c r="B33" s="4"/>
      <c r="C33" s="4"/>
      <c r="D33" s="4"/>
      <c r="E33" s="4"/>
      <c r="F33" s="7" t="str">
        <f t="shared" si="0"/>
        <v/>
      </c>
      <c r="G33" s="4"/>
      <c r="H33" s="2"/>
    </row>
    <row r="34" spans="1:8" ht="20.100000000000001" customHeight="1" x14ac:dyDescent="0.25">
      <c r="A34" s="4"/>
      <c r="B34" s="4"/>
      <c r="C34" s="4"/>
      <c r="D34" s="4"/>
      <c r="E34" s="4"/>
      <c r="F34" s="7" t="str">
        <f t="shared" si="0"/>
        <v/>
      </c>
      <c r="G34" s="4"/>
      <c r="H34" s="2"/>
    </row>
    <row r="35" spans="1:8" ht="20.100000000000001" customHeight="1" x14ac:dyDescent="0.25">
      <c r="A35" s="4"/>
      <c r="B35" s="4"/>
      <c r="C35" s="4"/>
      <c r="D35" s="4"/>
      <c r="E35" s="4"/>
      <c r="F35" s="7" t="str">
        <f t="shared" si="0"/>
        <v/>
      </c>
      <c r="G35" s="4"/>
      <c r="H35" s="2"/>
    </row>
    <row r="36" spans="1:8" ht="20.100000000000001" customHeight="1" x14ac:dyDescent="0.25">
      <c r="A36" s="4"/>
      <c r="B36" s="4"/>
      <c r="C36" s="4"/>
      <c r="D36" s="4"/>
      <c r="E36" s="4"/>
      <c r="F36" s="7" t="str">
        <f t="shared" si="0"/>
        <v/>
      </c>
      <c r="G36" s="4"/>
      <c r="H36" s="2"/>
    </row>
    <row r="37" spans="1:8" ht="20.100000000000001" customHeight="1" x14ac:dyDescent="0.25">
      <c r="A37" s="4"/>
      <c r="B37" s="4"/>
      <c r="C37" s="4"/>
      <c r="D37" s="4"/>
      <c r="E37" s="4"/>
      <c r="F37" s="7" t="str">
        <f t="shared" si="0"/>
        <v/>
      </c>
      <c r="G37" s="4"/>
      <c r="H37" s="2"/>
    </row>
    <row r="38" spans="1:8" ht="20.100000000000001" customHeight="1" x14ac:dyDescent="0.25">
      <c r="A38" s="4"/>
      <c r="B38" s="4"/>
      <c r="C38" s="4"/>
      <c r="D38" s="4"/>
      <c r="E38" s="4"/>
      <c r="F38" s="7" t="str">
        <f t="shared" si="0"/>
        <v/>
      </c>
      <c r="G38" s="4"/>
      <c r="H38" s="2"/>
    </row>
    <row r="39" spans="1:8" ht="20.100000000000001" customHeight="1" x14ac:dyDescent="0.25">
      <c r="A39" s="4"/>
      <c r="B39" s="4"/>
      <c r="C39" s="4"/>
      <c r="D39" s="4"/>
      <c r="E39" s="4"/>
      <c r="F39" s="7" t="str">
        <f t="shared" si="0"/>
        <v/>
      </c>
      <c r="G39" s="4"/>
      <c r="H39" s="2"/>
    </row>
    <row r="40" spans="1:8" ht="20.100000000000001" customHeight="1" x14ac:dyDescent="0.25">
      <c r="A40" s="4"/>
      <c r="B40" s="4"/>
      <c r="C40" s="4"/>
      <c r="D40" s="4"/>
      <c r="E40" s="4"/>
      <c r="F40" s="7" t="str">
        <f t="shared" si="0"/>
        <v/>
      </c>
      <c r="G40" s="4"/>
      <c r="H40" s="2"/>
    </row>
    <row r="41" spans="1:8" ht="20.100000000000001" customHeight="1" x14ac:dyDescent="0.25">
      <c r="A41" s="4"/>
      <c r="B41" s="4"/>
      <c r="C41" s="4"/>
      <c r="D41" s="4"/>
      <c r="E41" s="4"/>
      <c r="F41" s="7" t="str">
        <f t="shared" si="0"/>
        <v/>
      </c>
      <c r="G41" s="4"/>
      <c r="H41" s="2"/>
    </row>
    <row r="42" spans="1:8" ht="20.100000000000001" customHeight="1" x14ac:dyDescent="0.25">
      <c r="A42" s="4"/>
      <c r="B42" s="4"/>
      <c r="C42" s="4"/>
      <c r="D42" s="4"/>
      <c r="E42" s="4"/>
      <c r="F42" s="7" t="str">
        <f t="shared" si="0"/>
        <v/>
      </c>
      <c r="G42" s="4"/>
      <c r="H42" s="2"/>
    </row>
    <row r="43" spans="1:8" ht="20.100000000000001" customHeight="1" x14ac:dyDescent="0.25">
      <c r="A43" s="4"/>
      <c r="B43" s="4"/>
      <c r="C43" s="4"/>
      <c r="D43" s="4"/>
      <c r="E43" s="4"/>
      <c r="F43" s="7" t="str">
        <f t="shared" si="0"/>
        <v/>
      </c>
      <c r="G43" s="4"/>
      <c r="H43" s="2"/>
    </row>
    <row r="44" spans="1:8" ht="20.100000000000001" customHeight="1" x14ac:dyDescent="0.25">
      <c r="A44" s="4"/>
      <c r="B44" s="4"/>
      <c r="C44" s="4"/>
      <c r="D44" s="4"/>
      <c r="E44" s="4"/>
      <c r="F44" s="7" t="str">
        <f t="shared" si="0"/>
        <v/>
      </c>
      <c r="G44" s="4"/>
      <c r="H44" s="2"/>
    </row>
  </sheetData>
  <mergeCells count="6">
    <mergeCell ref="A6:H6"/>
    <mergeCell ref="C2:G2"/>
    <mergeCell ref="C1:G1"/>
    <mergeCell ref="C3:D3"/>
    <mergeCell ref="A1:B3"/>
    <mergeCell ref="E3:F3"/>
  </mergeCells>
  <conditionalFormatting sqref="F10">
    <cfRule type="expression" dxfId="54" priority="1">
      <formula>AND(F10&lt;&gt;"", G10&lt;&gt;"", F10&lt;G10)</formula>
    </cfRule>
  </conditionalFormatting>
  <conditionalFormatting sqref="F11">
    <cfRule type="expression" dxfId="53" priority="2">
      <formula>AND(F11&lt;&gt;"", G11&lt;&gt;"", F11&lt;G11)</formula>
    </cfRule>
  </conditionalFormatting>
  <conditionalFormatting sqref="F12">
    <cfRule type="expression" dxfId="52" priority="3">
      <formula>AND(F12&lt;&gt;"", G12&lt;&gt;"", F12&lt;G12)</formula>
    </cfRule>
  </conditionalFormatting>
  <conditionalFormatting sqref="F13">
    <cfRule type="expression" dxfId="51" priority="4">
      <formula>AND(F13&lt;&gt;"", G13&lt;&gt;"", F13&lt;G13)</formula>
    </cfRule>
  </conditionalFormatting>
  <conditionalFormatting sqref="F14">
    <cfRule type="expression" dxfId="50" priority="5">
      <formula>AND(F14&lt;&gt;"", G14&lt;&gt;"", F14&lt;G14)</formula>
    </cfRule>
  </conditionalFormatting>
  <conditionalFormatting sqref="F15">
    <cfRule type="expression" dxfId="49" priority="6">
      <formula>AND(F15&lt;&gt;"", G15&lt;&gt;"", F15&lt;G15)</formula>
    </cfRule>
  </conditionalFormatting>
  <conditionalFormatting sqref="F16">
    <cfRule type="expression" dxfId="48" priority="7">
      <formula>AND(F16&lt;&gt;"", G16&lt;&gt;"", F16&lt;G16)</formula>
    </cfRule>
  </conditionalFormatting>
  <conditionalFormatting sqref="F17">
    <cfRule type="expression" dxfId="47" priority="8">
      <formula>AND(F17&lt;&gt;"", G17&lt;&gt;"", F17&lt;G17)</formula>
    </cfRule>
  </conditionalFormatting>
  <conditionalFormatting sqref="F18">
    <cfRule type="expression" dxfId="46" priority="9">
      <formula>AND(F18&lt;&gt;"", G18&lt;&gt;"", F18&lt;G18)</formula>
    </cfRule>
  </conditionalFormatting>
  <conditionalFormatting sqref="F19">
    <cfRule type="expression" dxfId="45" priority="10">
      <formula>AND(F19&lt;&gt;"", G19&lt;&gt;"", F19&lt;G19)</formula>
    </cfRule>
  </conditionalFormatting>
  <conditionalFormatting sqref="F20">
    <cfRule type="expression" dxfId="44" priority="11">
      <formula>AND(F20&lt;&gt;"", G20&lt;&gt;"", F20&lt;G20)</formula>
    </cfRule>
  </conditionalFormatting>
  <conditionalFormatting sqref="F21">
    <cfRule type="expression" dxfId="43" priority="12">
      <formula>AND(F21&lt;&gt;"", G21&lt;&gt;"", F21&lt;G21)</formula>
    </cfRule>
  </conditionalFormatting>
  <conditionalFormatting sqref="F22">
    <cfRule type="expression" dxfId="42" priority="13">
      <formula>AND(F22&lt;&gt;"", G22&lt;&gt;"", F22&lt;G22)</formula>
    </cfRule>
  </conditionalFormatting>
  <conditionalFormatting sqref="F23">
    <cfRule type="expression" dxfId="41" priority="14">
      <formula>AND(F23&lt;&gt;"", G23&lt;&gt;"", F23&lt;G23)</formula>
    </cfRule>
  </conditionalFormatting>
  <conditionalFormatting sqref="F24">
    <cfRule type="expression" dxfId="40" priority="15">
      <formula>AND(F24&lt;&gt;"", G24&lt;&gt;"", F24&lt;G24)</formula>
    </cfRule>
  </conditionalFormatting>
  <conditionalFormatting sqref="F25">
    <cfRule type="expression" dxfId="39" priority="16">
      <formula>AND(F25&lt;&gt;"", G25&lt;&gt;"", F25&lt;G25)</formula>
    </cfRule>
  </conditionalFormatting>
  <conditionalFormatting sqref="F26">
    <cfRule type="expression" dxfId="38" priority="17">
      <formula>AND(F26&lt;&gt;"", G26&lt;&gt;"", F26&lt;G26)</formula>
    </cfRule>
  </conditionalFormatting>
  <conditionalFormatting sqref="F27">
    <cfRule type="expression" dxfId="37" priority="18">
      <formula>AND(F27&lt;&gt;"", G27&lt;&gt;"", F27&lt;G27)</formula>
    </cfRule>
  </conditionalFormatting>
  <conditionalFormatting sqref="F28">
    <cfRule type="expression" dxfId="36" priority="19">
      <formula>AND(F28&lt;&gt;"", G28&lt;&gt;"", F28&lt;G28)</formula>
    </cfRule>
  </conditionalFormatting>
  <conditionalFormatting sqref="F29">
    <cfRule type="expression" dxfId="35" priority="20">
      <formula>AND(F29&lt;&gt;"", G29&lt;&gt;"", F29&lt;G29)</formula>
    </cfRule>
  </conditionalFormatting>
  <conditionalFormatting sqref="F30">
    <cfRule type="expression" dxfId="34" priority="21">
      <formula>AND(F30&lt;&gt;"", G30&lt;&gt;"", F30&lt;G30)</formula>
    </cfRule>
  </conditionalFormatting>
  <conditionalFormatting sqref="F31">
    <cfRule type="expression" dxfId="33" priority="22">
      <formula>AND(F31&lt;&gt;"", G31&lt;&gt;"", F31&lt;G31)</formula>
    </cfRule>
  </conditionalFormatting>
  <conditionalFormatting sqref="F32">
    <cfRule type="expression" dxfId="32" priority="23">
      <formula>AND(F32&lt;&gt;"", G32&lt;&gt;"", F32&lt;G32)</formula>
    </cfRule>
  </conditionalFormatting>
  <conditionalFormatting sqref="F33">
    <cfRule type="expression" dxfId="31" priority="24">
      <formula>AND(F33&lt;&gt;"", G33&lt;&gt;"", F33&lt;G33)</formula>
    </cfRule>
  </conditionalFormatting>
  <conditionalFormatting sqref="F34">
    <cfRule type="expression" dxfId="30" priority="25">
      <formula>AND(F34&lt;&gt;"", G34&lt;&gt;"", F34&lt;G34)</formula>
    </cfRule>
  </conditionalFormatting>
  <conditionalFormatting sqref="F35">
    <cfRule type="expression" dxfId="29" priority="26">
      <formula>AND(F35&lt;&gt;"", G35&lt;&gt;"", F35&lt;G35)</formula>
    </cfRule>
  </conditionalFormatting>
  <conditionalFormatting sqref="F36">
    <cfRule type="expression" dxfId="28" priority="27">
      <formula>AND(F36&lt;&gt;"", G36&lt;&gt;"", F36&lt;G36)</formula>
    </cfRule>
  </conditionalFormatting>
  <conditionalFormatting sqref="F37">
    <cfRule type="expression" dxfId="27" priority="28">
      <formula>AND(F37&lt;&gt;"", G37&lt;&gt;"", F37&lt;G37)</formula>
    </cfRule>
  </conditionalFormatting>
  <conditionalFormatting sqref="F38">
    <cfRule type="expression" dxfId="26" priority="29">
      <formula>AND(F38&lt;&gt;"", G38&lt;&gt;"", F38&lt;G38)</formula>
    </cfRule>
  </conditionalFormatting>
  <conditionalFormatting sqref="F39">
    <cfRule type="expression" dxfId="25" priority="30">
      <formula>AND(F39&lt;&gt;"", G39&lt;&gt;"", F39&lt;G39)</formula>
    </cfRule>
  </conditionalFormatting>
  <conditionalFormatting sqref="F40">
    <cfRule type="expression" dxfId="24" priority="31">
      <formula>AND(F40&lt;&gt;"", G40&lt;&gt;"", F40&lt;G40)</formula>
    </cfRule>
  </conditionalFormatting>
  <conditionalFormatting sqref="F41">
    <cfRule type="expression" dxfId="23" priority="32">
      <formula>AND(F41&lt;&gt;"", G41&lt;&gt;"", F41&lt;G41)</formula>
    </cfRule>
  </conditionalFormatting>
  <conditionalFormatting sqref="F42">
    <cfRule type="expression" dxfId="22" priority="33">
      <formula>AND(F42&lt;&gt;"", G42&lt;&gt;"", F42&lt;G42)</formula>
    </cfRule>
  </conditionalFormatting>
  <conditionalFormatting sqref="F43">
    <cfRule type="expression" dxfId="21" priority="34">
      <formula>AND(F43&lt;&gt;"", G43&lt;&gt;"", F43&lt;G43)</formula>
    </cfRule>
  </conditionalFormatting>
  <conditionalFormatting sqref="F44">
    <cfRule type="expression" dxfId="20" priority="35">
      <formula>AND(F44&lt;&gt;"", G44&lt;&gt;"", F44&lt;G44)</formula>
    </cfRule>
  </conditionalFormatting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pane ySplit="9" topLeftCell="A10" activePane="bottomLeft" state="frozen"/>
      <selection pane="bottomLeft" sqref="A1:B3"/>
    </sheetView>
  </sheetViews>
  <sheetFormatPr defaultRowHeight="15" x14ac:dyDescent="0.25"/>
  <cols>
    <col min="1" max="1" width="12" customWidth="1"/>
    <col min="2" max="4" width="14" customWidth="1"/>
    <col min="5" max="5" width="12" customWidth="1"/>
    <col min="6" max="7" width="14" customWidth="1"/>
    <col min="8" max="8" width="18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88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5" t="s">
        <v>89</v>
      </c>
      <c r="B6" s="14"/>
      <c r="C6" s="14"/>
      <c r="D6" s="14"/>
      <c r="E6" s="14"/>
      <c r="F6" s="14"/>
      <c r="G6" s="14"/>
      <c r="H6" s="14"/>
    </row>
    <row r="7" spans="1:8" x14ac:dyDescent="0.25">
      <c r="A7" s="1" t="s">
        <v>9</v>
      </c>
      <c r="B7" s="2"/>
      <c r="C7" s="1" t="s">
        <v>90</v>
      </c>
      <c r="D7" s="2"/>
      <c r="E7" s="1" t="s">
        <v>91</v>
      </c>
      <c r="F7" s="2"/>
      <c r="G7" s="1" t="s">
        <v>92</v>
      </c>
      <c r="H7" s="2"/>
    </row>
    <row r="9" spans="1:8" ht="32.1" customHeight="1" x14ac:dyDescent="0.25">
      <c r="A9" s="3" t="s">
        <v>19</v>
      </c>
      <c r="B9" s="3" t="s">
        <v>93</v>
      </c>
      <c r="C9" s="3" t="s">
        <v>94</v>
      </c>
      <c r="D9" s="3" t="s">
        <v>95</v>
      </c>
      <c r="E9" s="3" t="s">
        <v>96</v>
      </c>
      <c r="F9" s="3" t="s">
        <v>24</v>
      </c>
      <c r="G9" s="3" t="s">
        <v>25</v>
      </c>
      <c r="H9" s="3" t="s">
        <v>97</v>
      </c>
    </row>
    <row r="10" spans="1:8" ht="20.100000000000001" customHeight="1" x14ac:dyDescent="0.25">
      <c r="A10" s="4"/>
      <c r="B10" s="4"/>
      <c r="C10" s="4"/>
      <c r="D10" s="4"/>
      <c r="E10" s="7" t="str">
        <f t="shared" ref="E10:E39" si="0">IF(AND(C10&lt;&gt;"",D10&lt;&gt;""),C10-D10,"")</f>
        <v/>
      </c>
      <c r="F10" s="4"/>
      <c r="G10" s="4"/>
      <c r="H10" s="2"/>
    </row>
    <row r="11" spans="1:8" ht="20.100000000000001" customHeight="1" x14ac:dyDescent="0.25">
      <c r="A11" s="4"/>
      <c r="B11" s="4"/>
      <c r="C11" s="4"/>
      <c r="D11" s="4"/>
      <c r="E11" s="7" t="str">
        <f t="shared" si="0"/>
        <v/>
      </c>
      <c r="F11" s="4"/>
      <c r="G11" s="4"/>
      <c r="H11" s="2"/>
    </row>
    <row r="12" spans="1:8" ht="20.100000000000001" customHeight="1" x14ac:dyDescent="0.25">
      <c r="A12" s="4"/>
      <c r="B12" s="4"/>
      <c r="C12" s="4"/>
      <c r="D12" s="4"/>
      <c r="E12" s="7" t="str">
        <f t="shared" si="0"/>
        <v/>
      </c>
      <c r="F12" s="4"/>
      <c r="G12" s="4"/>
      <c r="H12" s="2"/>
    </row>
    <row r="13" spans="1:8" ht="20.100000000000001" customHeight="1" x14ac:dyDescent="0.25">
      <c r="A13" s="4"/>
      <c r="B13" s="4"/>
      <c r="C13" s="4"/>
      <c r="D13" s="4"/>
      <c r="E13" s="7" t="str">
        <f t="shared" si="0"/>
        <v/>
      </c>
      <c r="F13" s="4"/>
      <c r="G13" s="4"/>
      <c r="H13" s="2"/>
    </row>
    <row r="14" spans="1:8" ht="20.100000000000001" customHeight="1" x14ac:dyDescent="0.25">
      <c r="A14" s="4"/>
      <c r="B14" s="4"/>
      <c r="C14" s="4"/>
      <c r="D14" s="4"/>
      <c r="E14" s="7" t="str">
        <f t="shared" si="0"/>
        <v/>
      </c>
      <c r="F14" s="4"/>
      <c r="G14" s="4"/>
      <c r="H14" s="2"/>
    </row>
    <row r="15" spans="1:8" ht="20.100000000000001" customHeight="1" x14ac:dyDescent="0.25">
      <c r="A15" s="4"/>
      <c r="B15" s="4"/>
      <c r="C15" s="4"/>
      <c r="D15" s="4"/>
      <c r="E15" s="7" t="str">
        <f t="shared" si="0"/>
        <v/>
      </c>
      <c r="F15" s="4"/>
      <c r="G15" s="4"/>
      <c r="H15" s="2"/>
    </row>
    <row r="16" spans="1:8" ht="20.100000000000001" customHeight="1" x14ac:dyDescent="0.25">
      <c r="A16" s="4"/>
      <c r="B16" s="4"/>
      <c r="C16" s="4"/>
      <c r="D16" s="4"/>
      <c r="E16" s="7" t="str">
        <f t="shared" si="0"/>
        <v/>
      </c>
      <c r="F16" s="4"/>
      <c r="G16" s="4"/>
      <c r="H16" s="2"/>
    </row>
    <row r="17" spans="1:8" ht="20.100000000000001" customHeight="1" x14ac:dyDescent="0.25">
      <c r="A17" s="4"/>
      <c r="B17" s="4"/>
      <c r="C17" s="4"/>
      <c r="D17" s="4"/>
      <c r="E17" s="7" t="str">
        <f t="shared" si="0"/>
        <v/>
      </c>
      <c r="F17" s="4"/>
      <c r="G17" s="4"/>
      <c r="H17" s="2"/>
    </row>
    <row r="18" spans="1:8" ht="20.100000000000001" customHeight="1" x14ac:dyDescent="0.25">
      <c r="A18" s="4"/>
      <c r="B18" s="4"/>
      <c r="C18" s="4"/>
      <c r="D18" s="4"/>
      <c r="E18" s="7" t="str">
        <f t="shared" si="0"/>
        <v/>
      </c>
      <c r="F18" s="4"/>
      <c r="G18" s="4"/>
      <c r="H18" s="2"/>
    </row>
    <row r="19" spans="1:8" ht="20.100000000000001" customHeight="1" x14ac:dyDescent="0.25">
      <c r="A19" s="4"/>
      <c r="B19" s="4"/>
      <c r="C19" s="4"/>
      <c r="D19" s="4"/>
      <c r="E19" s="7" t="str">
        <f t="shared" si="0"/>
        <v/>
      </c>
      <c r="F19" s="4"/>
      <c r="G19" s="4"/>
      <c r="H19" s="2"/>
    </row>
    <row r="20" spans="1:8" ht="20.100000000000001" customHeight="1" x14ac:dyDescent="0.25">
      <c r="A20" s="4"/>
      <c r="B20" s="4"/>
      <c r="C20" s="4"/>
      <c r="D20" s="4"/>
      <c r="E20" s="7" t="str">
        <f t="shared" si="0"/>
        <v/>
      </c>
      <c r="F20" s="4"/>
      <c r="G20" s="4"/>
      <c r="H20" s="2"/>
    </row>
    <row r="21" spans="1:8" ht="20.100000000000001" customHeight="1" x14ac:dyDescent="0.25">
      <c r="A21" s="4"/>
      <c r="B21" s="4"/>
      <c r="C21" s="4"/>
      <c r="D21" s="4"/>
      <c r="E21" s="7" t="str">
        <f t="shared" si="0"/>
        <v/>
      </c>
      <c r="F21" s="4"/>
      <c r="G21" s="4"/>
      <c r="H21" s="2"/>
    </row>
    <row r="22" spans="1:8" ht="20.100000000000001" customHeight="1" x14ac:dyDescent="0.25">
      <c r="A22" s="4"/>
      <c r="B22" s="4"/>
      <c r="C22" s="4"/>
      <c r="D22" s="4"/>
      <c r="E22" s="7" t="str">
        <f t="shared" si="0"/>
        <v/>
      </c>
      <c r="F22" s="4"/>
      <c r="G22" s="4"/>
      <c r="H22" s="2"/>
    </row>
    <row r="23" spans="1:8" ht="20.100000000000001" customHeight="1" x14ac:dyDescent="0.25">
      <c r="A23" s="4"/>
      <c r="B23" s="4"/>
      <c r="C23" s="4"/>
      <c r="D23" s="4"/>
      <c r="E23" s="7" t="str">
        <f t="shared" si="0"/>
        <v/>
      </c>
      <c r="F23" s="4"/>
      <c r="G23" s="4"/>
      <c r="H23" s="2"/>
    </row>
    <row r="24" spans="1:8" ht="20.100000000000001" customHeight="1" x14ac:dyDescent="0.25">
      <c r="A24" s="4"/>
      <c r="B24" s="4"/>
      <c r="C24" s="4"/>
      <c r="D24" s="4"/>
      <c r="E24" s="7" t="str">
        <f t="shared" si="0"/>
        <v/>
      </c>
      <c r="F24" s="4"/>
      <c r="G24" s="4"/>
      <c r="H24" s="2"/>
    </row>
    <row r="25" spans="1:8" ht="20.100000000000001" customHeight="1" x14ac:dyDescent="0.25">
      <c r="A25" s="4"/>
      <c r="B25" s="4"/>
      <c r="C25" s="4"/>
      <c r="D25" s="4"/>
      <c r="E25" s="7" t="str">
        <f t="shared" si="0"/>
        <v/>
      </c>
      <c r="F25" s="4"/>
      <c r="G25" s="4"/>
      <c r="H25" s="2"/>
    </row>
    <row r="26" spans="1:8" ht="20.100000000000001" customHeight="1" x14ac:dyDescent="0.25">
      <c r="A26" s="4"/>
      <c r="B26" s="4"/>
      <c r="C26" s="4"/>
      <c r="D26" s="4"/>
      <c r="E26" s="7" t="str">
        <f t="shared" si="0"/>
        <v/>
      </c>
      <c r="F26" s="4"/>
      <c r="G26" s="4"/>
      <c r="H26" s="2"/>
    </row>
    <row r="27" spans="1:8" ht="20.100000000000001" customHeight="1" x14ac:dyDescent="0.25">
      <c r="A27" s="4"/>
      <c r="B27" s="4"/>
      <c r="C27" s="4"/>
      <c r="D27" s="4"/>
      <c r="E27" s="7" t="str">
        <f t="shared" si="0"/>
        <v/>
      </c>
      <c r="F27" s="4"/>
      <c r="G27" s="4"/>
      <c r="H27" s="2"/>
    </row>
    <row r="28" spans="1:8" ht="20.100000000000001" customHeight="1" x14ac:dyDescent="0.25">
      <c r="A28" s="4"/>
      <c r="B28" s="4"/>
      <c r="C28" s="4"/>
      <c r="D28" s="4"/>
      <c r="E28" s="7" t="str">
        <f t="shared" si="0"/>
        <v/>
      </c>
      <c r="F28" s="4"/>
      <c r="G28" s="4"/>
      <c r="H28" s="2"/>
    </row>
    <row r="29" spans="1:8" ht="20.100000000000001" customHeight="1" x14ac:dyDescent="0.25">
      <c r="A29" s="4"/>
      <c r="B29" s="4"/>
      <c r="C29" s="4"/>
      <c r="D29" s="4"/>
      <c r="E29" s="7" t="str">
        <f t="shared" si="0"/>
        <v/>
      </c>
      <c r="F29" s="4"/>
      <c r="G29" s="4"/>
      <c r="H29" s="2"/>
    </row>
    <row r="30" spans="1:8" ht="20.100000000000001" customHeight="1" x14ac:dyDescent="0.25">
      <c r="A30" s="4"/>
      <c r="B30" s="4"/>
      <c r="C30" s="4"/>
      <c r="D30" s="4"/>
      <c r="E30" s="7" t="str">
        <f t="shared" si="0"/>
        <v/>
      </c>
      <c r="F30" s="4"/>
      <c r="G30" s="4"/>
      <c r="H30" s="2"/>
    </row>
    <row r="31" spans="1:8" ht="20.100000000000001" customHeight="1" x14ac:dyDescent="0.25">
      <c r="A31" s="4"/>
      <c r="B31" s="4"/>
      <c r="C31" s="4"/>
      <c r="D31" s="4"/>
      <c r="E31" s="7" t="str">
        <f t="shared" si="0"/>
        <v/>
      </c>
      <c r="F31" s="4"/>
      <c r="G31" s="4"/>
      <c r="H31" s="2"/>
    </row>
    <row r="32" spans="1:8" ht="20.100000000000001" customHeight="1" x14ac:dyDescent="0.25">
      <c r="A32" s="4"/>
      <c r="B32" s="4"/>
      <c r="C32" s="4"/>
      <c r="D32" s="4"/>
      <c r="E32" s="7" t="str">
        <f t="shared" si="0"/>
        <v/>
      </c>
      <c r="F32" s="4"/>
      <c r="G32" s="4"/>
      <c r="H32" s="2"/>
    </row>
    <row r="33" spans="1:8" ht="20.100000000000001" customHeight="1" x14ac:dyDescent="0.25">
      <c r="A33" s="4"/>
      <c r="B33" s="4"/>
      <c r="C33" s="4"/>
      <c r="D33" s="4"/>
      <c r="E33" s="7" t="str">
        <f t="shared" si="0"/>
        <v/>
      </c>
      <c r="F33" s="4"/>
      <c r="G33" s="4"/>
      <c r="H33" s="2"/>
    </row>
    <row r="34" spans="1:8" ht="20.100000000000001" customHeight="1" x14ac:dyDescent="0.25">
      <c r="A34" s="4"/>
      <c r="B34" s="4"/>
      <c r="C34" s="4"/>
      <c r="D34" s="4"/>
      <c r="E34" s="7" t="str">
        <f t="shared" si="0"/>
        <v/>
      </c>
      <c r="F34" s="4"/>
      <c r="G34" s="4"/>
      <c r="H34" s="2"/>
    </row>
    <row r="35" spans="1:8" ht="20.100000000000001" customHeight="1" x14ac:dyDescent="0.25">
      <c r="A35" s="4"/>
      <c r="B35" s="4"/>
      <c r="C35" s="4"/>
      <c r="D35" s="4"/>
      <c r="E35" s="7" t="str">
        <f t="shared" si="0"/>
        <v/>
      </c>
      <c r="F35" s="4"/>
      <c r="G35" s="4"/>
      <c r="H35" s="2"/>
    </row>
    <row r="36" spans="1:8" ht="20.100000000000001" customHeight="1" x14ac:dyDescent="0.25">
      <c r="A36" s="4"/>
      <c r="B36" s="4"/>
      <c r="C36" s="4"/>
      <c r="D36" s="4"/>
      <c r="E36" s="7" t="str">
        <f t="shared" si="0"/>
        <v/>
      </c>
      <c r="F36" s="4"/>
      <c r="G36" s="4"/>
      <c r="H36" s="2"/>
    </row>
    <row r="37" spans="1:8" ht="20.100000000000001" customHeight="1" x14ac:dyDescent="0.25">
      <c r="A37" s="4"/>
      <c r="B37" s="4"/>
      <c r="C37" s="4"/>
      <c r="D37" s="4"/>
      <c r="E37" s="7" t="str">
        <f t="shared" si="0"/>
        <v/>
      </c>
      <c r="F37" s="4"/>
      <c r="G37" s="4"/>
      <c r="H37" s="2"/>
    </row>
    <row r="38" spans="1:8" ht="20.100000000000001" customHeight="1" x14ac:dyDescent="0.25">
      <c r="A38" s="4"/>
      <c r="B38" s="4"/>
      <c r="C38" s="4"/>
      <c r="D38" s="4"/>
      <c r="E38" s="7" t="str">
        <f t="shared" si="0"/>
        <v/>
      </c>
      <c r="F38" s="4"/>
      <c r="G38" s="4"/>
      <c r="H38" s="2"/>
    </row>
    <row r="39" spans="1:8" ht="20.100000000000001" customHeight="1" x14ac:dyDescent="0.25">
      <c r="A39" s="4"/>
      <c r="B39" s="4"/>
      <c r="C39" s="4"/>
      <c r="D39" s="4"/>
      <c r="E39" s="7" t="str">
        <f t="shared" si="0"/>
        <v/>
      </c>
      <c r="F39" s="4"/>
      <c r="G39" s="4"/>
      <c r="H39" s="2"/>
    </row>
  </sheetData>
  <mergeCells count="6">
    <mergeCell ref="A6:H6"/>
    <mergeCell ref="C2:G2"/>
    <mergeCell ref="C1:G1"/>
    <mergeCell ref="C3:D3"/>
    <mergeCell ref="A1:B3"/>
    <mergeCell ref="E3:F3"/>
  </mergeCells>
  <dataValidations count="1">
    <dataValidation type="list" allowBlank="1" sqref="F7">
      <formula1>"High,Medium,Low"</formula1>
    </dataValidation>
  </dataValidations>
  <pageMargins left="0.5" right="0.5" top="0.75" bottom="0.75" header="0.3" footer="0.3"/>
  <pageSetup paperSize="9" fitToHeight="0" orientation="landscape"/>
  <headerFooter>
    <oddFooter>&amp;CPage &amp;P of &amp;N&amp;R&amp;D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selection sqref="A1:B3"/>
    </sheetView>
  </sheetViews>
  <sheetFormatPr defaultRowHeight="15" x14ac:dyDescent="0.25"/>
  <cols>
    <col min="1" max="1" width="18" customWidth="1"/>
    <col min="2" max="6" width="14" customWidth="1"/>
    <col min="7" max="7" width="18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98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5" t="s">
        <v>99</v>
      </c>
      <c r="B6" s="14"/>
      <c r="C6" s="14"/>
      <c r="D6" s="14"/>
      <c r="E6" s="14"/>
      <c r="F6" s="14"/>
      <c r="G6" s="14"/>
    </row>
    <row r="7" spans="1:8" x14ac:dyDescent="0.25">
      <c r="A7" s="1" t="s">
        <v>100</v>
      </c>
      <c r="B7" s="2"/>
      <c r="C7" s="1" t="s">
        <v>101</v>
      </c>
      <c r="D7" s="2"/>
      <c r="E7" s="1" t="s">
        <v>14</v>
      </c>
      <c r="F7" s="13"/>
      <c r="G7" s="14"/>
    </row>
    <row r="8" spans="1:8" x14ac:dyDescent="0.25">
      <c r="A8" s="1" t="s">
        <v>102</v>
      </c>
      <c r="B8" s="2"/>
      <c r="C8" s="1" t="s">
        <v>45</v>
      </c>
      <c r="D8" s="2"/>
      <c r="E8" s="1" t="s">
        <v>17</v>
      </c>
      <c r="F8" s="13"/>
      <c r="G8" s="14"/>
    </row>
    <row r="10" spans="1:8" x14ac:dyDescent="0.25">
      <c r="A10" s="20" t="s">
        <v>103</v>
      </c>
      <c r="B10" s="14"/>
      <c r="C10" s="14"/>
      <c r="D10" s="14"/>
      <c r="E10" s="14"/>
      <c r="F10" s="14"/>
      <c r="G10" s="14"/>
    </row>
    <row r="11" spans="1:8" x14ac:dyDescent="0.25">
      <c r="A11" s="3" t="s">
        <v>104</v>
      </c>
      <c r="B11" s="3" t="s">
        <v>105</v>
      </c>
      <c r="C11" s="3" t="s">
        <v>106</v>
      </c>
      <c r="D11" s="3" t="s">
        <v>107</v>
      </c>
      <c r="E11" s="3" t="s">
        <v>108</v>
      </c>
      <c r="F11" s="3" t="s">
        <v>109</v>
      </c>
      <c r="G11" s="3" t="s">
        <v>59</v>
      </c>
    </row>
    <row r="12" spans="1:8" ht="21.95" customHeight="1" x14ac:dyDescent="0.25">
      <c r="A12" s="8" t="s">
        <v>110</v>
      </c>
      <c r="B12" s="4"/>
      <c r="C12" s="4"/>
      <c r="D12" s="4"/>
      <c r="E12" s="4"/>
      <c r="F12" s="7" t="str">
        <f t="shared" ref="F12:F19" si="0">IF(COUNT(B12:E12)&gt;0,MIN(B12:E12),"")</f>
        <v/>
      </c>
      <c r="G12" s="5" t="str">
        <f t="shared" ref="G12:G19" si="1">IF(F12="","",IF(F12&gt;=$D$8,"OK","REVIEW"))</f>
        <v/>
      </c>
    </row>
    <row r="13" spans="1:8" ht="21.95" customHeight="1" x14ac:dyDescent="0.25">
      <c r="A13" s="8" t="s">
        <v>111</v>
      </c>
      <c r="B13" s="4"/>
      <c r="C13" s="4"/>
      <c r="D13" s="4"/>
      <c r="E13" s="4"/>
      <c r="F13" s="7" t="str">
        <f t="shared" si="0"/>
        <v/>
      </c>
      <c r="G13" s="5" t="str">
        <f t="shared" si="1"/>
        <v/>
      </c>
    </row>
    <row r="14" spans="1:8" ht="21.95" customHeight="1" x14ac:dyDescent="0.25">
      <c r="A14" s="8" t="s">
        <v>112</v>
      </c>
      <c r="B14" s="4"/>
      <c r="C14" s="4"/>
      <c r="D14" s="4"/>
      <c r="E14" s="4"/>
      <c r="F14" s="7" t="str">
        <f t="shared" si="0"/>
        <v/>
      </c>
      <c r="G14" s="5" t="str">
        <f t="shared" si="1"/>
        <v/>
      </c>
    </row>
    <row r="15" spans="1:8" ht="21.95" customHeight="1" x14ac:dyDescent="0.25">
      <c r="A15" s="8" t="s">
        <v>113</v>
      </c>
      <c r="B15" s="4"/>
      <c r="C15" s="4"/>
      <c r="D15" s="4"/>
      <c r="E15" s="4"/>
      <c r="F15" s="7" t="str">
        <f t="shared" si="0"/>
        <v/>
      </c>
      <c r="G15" s="5" t="str">
        <f t="shared" si="1"/>
        <v/>
      </c>
    </row>
    <row r="16" spans="1:8" ht="21.95" customHeight="1" x14ac:dyDescent="0.25">
      <c r="A16" s="8" t="s">
        <v>114</v>
      </c>
      <c r="B16" s="4"/>
      <c r="C16" s="4"/>
      <c r="D16" s="4"/>
      <c r="E16" s="4"/>
      <c r="F16" s="7" t="str">
        <f t="shared" si="0"/>
        <v/>
      </c>
      <c r="G16" s="5" t="str">
        <f t="shared" si="1"/>
        <v/>
      </c>
    </row>
    <row r="17" spans="1:8" ht="21.95" customHeight="1" x14ac:dyDescent="0.25">
      <c r="A17" s="8" t="s">
        <v>115</v>
      </c>
      <c r="B17" s="4"/>
      <c r="C17" s="4"/>
      <c r="D17" s="4"/>
      <c r="E17" s="4"/>
      <c r="F17" s="7" t="str">
        <f t="shared" si="0"/>
        <v/>
      </c>
      <c r="G17" s="5" t="str">
        <f t="shared" si="1"/>
        <v/>
      </c>
    </row>
    <row r="18" spans="1:8" ht="21.95" customHeight="1" x14ac:dyDescent="0.25">
      <c r="A18" s="8" t="s">
        <v>116</v>
      </c>
      <c r="B18" s="4"/>
      <c r="C18" s="4"/>
      <c r="D18" s="4"/>
      <c r="E18" s="4"/>
      <c r="F18" s="7" t="str">
        <f t="shared" si="0"/>
        <v/>
      </c>
      <c r="G18" s="5" t="str">
        <f t="shared" si="1"/>
        <v/>
      </c>
    </row>
    <row r="19" spans="1:8" ht="21.95" customHeight="1" x14ac:dyDescent="0.25">
      <c r="A19" s="8" t="s">
        <v>117</v>
      </c>
      <c r="B19" s="4"/>
      <c r="C19" s="4"/>
      <c r="D19" s="4"/>
      <c r="E19" s="4"/>
      <c r="F19" s="7" t="str">
        <f t="shared" si="0"/>
        <v/>
      </c>
      <c r="G19" s="5" t="str">
        <f t="shared" si="1"/>
        <v/>
      </c>
    </row>
    <row r="21" spans="1:8" x14ac:dyDescent="0.25">
      <c r="A21" s="25" t="s">
        <v>118</v>
      </c>
      <c r="B21" s="14"/>
      <c r="C21" s="14"/>
      <c r="D21" s="14"/>
      <c r="E21" s="14"/>
      <c r="F21" s="10" t="str">
        <f>IF(COUNT(F12:F19)&gt;0,MIN(F12:F19),"")</f>
        <v/>
      </c>
    </row>
    <row r="24" spans="1:8" x14ac:dyDescent="0.25">
      <c r="A24" s="15" t="s">
        <v>27</v>
      </c>
      <c r="B24" s="14"/>
      <c r="C24" s="14"/>
      <c r="D24" s="14"/>
      <c r="E24" s="14"/>
      <c r="F24" s="14"/>
      <c r="G24" s="14"/>
    </row>
    <row r="25" spans="1:8" ht="24.95" customHeight="1" x14ac:dyDescent="0.25">
      <c r="A25" s="1" t="s">
        <v>28</v>
      </c>
      <c r="B25" s="13"/>
      <c r="C25" s="14"/>
      <c r="D25" s="1" t="s">
        <v>29</v>
      </c>
      <c r="E25" s="13"/>
      <c r="F25" s="14"/>
      <c r="G25" s="1" t="s">
        <v>7</v>
      </c>
      <c r="H25" s="2"/>
    </row>
    <row r="26" spans="1:8" ht="24.95" customHeight="1" x14ac:dyDescent="0.25">
      <c r="A26" s="1" t="s">
        <v>30</v>
      </c>
      <c r="B26" s="13"/>
      <c r="C26" s="14"/>
      <c r="D26" s="1" t="s">
        <v>29</v>
      </c>
      <c r="E26" s="13"/>
      <c r="F26" s="14"/>
      <c r="G26" s="1" t="s">
        <v>7</v>
      </c>
      <c r="H26" s="2"/>
    </row>
    <row r="27" spans="1:8" ht="24.95" customHeight="1" x14ac:dyDescent="0.25">
      <c r="A27" s="1" t="s">
        <v>31</v>
      </c>
      <c r="B27" s="13"/>
      <c r="C27" s="14"/>
      <c r="D27" s="1" t="s">
        <v>29</v>
      </c>
      <c r="E27" s="13"/>
      <c r="F27" s="14"/>
      <c r="G27" s="1" t="s">
        <v>7</v>
      </c>
      <c r="H27" s="2"/>
    </row>
  </sheetData>
  <mergeCells count="17">
    <mergeCell ref="C1:G1"/>
    <mergeCell ref="E27:F27"/>
    <mergeCell ref="A24:G24"/>
    <mergeCell ref="B26:C26"/>
    <mergeCell ref="B27:C27"/>
    <mergeCell ref="E26:F26"/>
    <mergeCell ref="C3:D3"/>
    <mergeCell ref="A1:B3"/>
    <mergeCell ref="E3:F3"/>
    <mergeCell ref="F7:G7"/>
    <mergeCell ref="F8:G8"/>
    <mergeCell ref="A21:E21"/>
    <mergeCell ref="A10:G10"/>
    <mergeCell ref="B25:C25"/>
    <mergeCell ref="E25:F25"/>
    <mergeCell ref="C2:G2"/>
    <mergeCell ref="A6:G6"/>
  </mergeCell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workbookViewId="0">
      <pane ySplit="8" topLeftCell="A9" activePane="bottomLeft" state="frozen"/>
      <selection pane="bottomLeft" sqref="A1:B3"/>
    </sheetView>
  </sheetViews>
  <sheetFormatPr defaultRowHeight="15" x14ac:dyDescent="0.25"/>
  <cols>
    <col min="1" max="1" width="12" customWidth="1"/>
    <col min="2" max="6" width="14" customWidth="1"/>
    <col min="7" max="7" width="22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119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" t="s">
        <v>100</v>
      </c>
      <c r="B6" s="2"/>
      <c r="C6" s="1" t="s">
        <v>101</v>
      </c>
      <c r="D6" s="2"/>
      <c r="E6" s="1" t="s">
        <v>13</v>
      </c>
      <c r="F6" s="13"/>
      <c r="G6" s="14"/>
    </row>
    <row r="8" spans="1:8" ht="27.95" customHeight="1" x14ac:dyDescent="0.25">
      <c r="A8" s="3" t="s">
        <v>120</v>
      </c>
      <c r="B8" s="3" t="s">
        <v>121</v>
      </c>
      <c r="C8" s="3" t="s">
        <v>122</v>
      </c>
      <c r="D8" s="3" t="s">
        <v>74</v>
      </c>
      <c r="E8" s="3" t="s">
        <v>75</v>
      </c>
      <c r="F8" s="3" t="s">
        <v>76</v>
      </c>
      <c r="G8" s="3" t="s">
        <v>123</v>
      </c>
    </row>
    <row r="9" spans="1:8" ht="20.100000000000001" customHeight="1" x14ac:dyDescent="0.25">
      <c r="A9" s="6" t="s">
        <v>124</v>
      </c>
      <c r="B9" s="4"/>
      <c r="C9" s="4"/>
      <c r="D9" s="4"/>
      <c r="E9" s="4"/>
      <c r="F9" s="4"/>
      <c r="G9" s="2"/>
    </row>
    <row r="10" spans="1:8" ht="20.100000000000001" customHeight="1" x14ac:dyDescent="0.25">
      <c r="A10" s="6" t="s">
        <v>125</v>
      </c>
      <c r="B10" s="4"/>
      <c r="C10" s="4"/>
      <c r="D10" s="4"/>
      <c r="E10" s="4"/>
      <c r="F10" s="4"/>
      <c r="G10" s="2"/>
    </row>
    <row r="11" spans="1:8" ht="20.100000000000001" customHeight="1" x14ac:dyDescent="0.25">
      <c r="A11" s="6" t="s">
        <v>126</v>
      </c>
      <c r="B11" s="4"/>
      <c r="C11" s="4"/>
      <c r="D11" s="4"/>
      <c r="E11" s="4"/>
      <c r="F11" s="4"/>
      <c r="G11" s="2"/>
    </row>
    <row r="12" spans="1:8" ht="20.100000000000001" customHeight="1" x14ac:dyDescent="0.25">
      <c r="A12" s="6" t="s">
        <v>127</v>
      </c>
      <c r="B12" s="4"/>
      <c r="C12" s="4"/>
      <c r="D12" s="4"/>
      <c r="E12" s="4"/>
      <c r="F12" s="4"/>
      <c r="G12" s="2"/>
    </row>
    <row r="13" spans="1:8" ht="20.100000000000001" customHeight="1" x14ac:dyDescent="0.25">
      <c r="A13" s="6" t="s">
        <v>128</v>
      </c>
      <c r="B13" s="4"/>
      <c r="C13" s="4"/>
      <c r="D13" s="4"/>
      <c r="E13" s="4"/>
      <c r="F13" s="4"/>
      <c r="G13" s="2"/>
    </row>
    <row r="14" spans="1:8" ht="20.100000000000001" customHeight="1" x14ac:dyDescent="0.25">
      <c r="A14" s="6" t="s">
        <v>129</v>
      </c>
      <c r="B14" s="4"/>
      <c r="C14" s="4"/>
      <c r="D14" s="4"/>
      <c r="E14" s="4"/>
      <c r="F14" s="4"/>
      <c r="G14" s="2"/>
    </row>
    <row r="15" spans="1:8" ht="20.100000000000001" customHeight="1" x14ac:dyDescent="0.25">
      <c r="A15" s="6" t="s">
        <v>130</v>
      </c>
      <c r="B15" s="4"/>
      <c r="C15" s="4"/>
      <c r="D15" s="4"/>
      <c r="E15" s="4"/>
      <c r="F15" s="4"/>
      <c r="G15" s="2"/>
    </row>
    <row r="16" spans="1:8" ht="20.100000000000001" customHeight="1" x14ac:dyDescent="0.25">
      <c r="A16" s="6" t="s">
        <v>131</v>
      </c>
      <c r="B16" s="4"/>
      <c r="C16" s="4"/>
      <c r="D16" s="4"/>
      <c r="E16" s="4"/>
      <c r="F16" s="4"/>
      <c r="G16" s="2"/>
    </row>
    <row r="17" spans="1:7" ht="20.100000000000001" customHeight="1" x14ac:dyDescent="0.25">
      <c r="A17" s="6" t="s">
        <v>132</v>
      </c>
      <c r="B17" s="4"/>
      <c r="C17" s="4"/>
      <c r="D17" s="4"/>
      <c r="E17" s="4"/>
      <c r="F17" s="4"/>
      <c r="G17" s="2"/>
    </row>
    <row r="18" spans="1:7" ht="20.100000000000001" customHeight="1" x14ac:dyDescent="0.25">
      <c r="A18" s="6" t="s">
        <v>133</v>
      </c>
      <c r="B18" s="4"/>
      <c r="C18" s="4"/>
      <c r="D18" s="4"/>
      <c r="E18" s="4"/>
      <c r="F18" s="4"/>
      <c r="G18" s="2"/>
    </row>
    <row r="19" spans="1:7" ht="20.100000000000001" customHeight="1" x14ac:dyDescent="0.25">
      <c r="A19" s="6" t="s">
        <v>134</v>
      </c>
      <c r="B19" s="4"/>
      <c r="C19" s="4"/>
      <c r="D19" s="4"/>
      <c r="E19" s="4"/>
      <c r="F19" s="4"/>
      <c r="G19" s="2"/>
    </row>
    <row r="20" spans="1:7" ht="20.100000000000001" customHeight="1" x14ac:dyDescent="0.25">
      <c r="A20" s="6" t="s">
        <v>135</v>
      </c>
      <c r="B20" s="4"/>
      <c r="C20" s="4"/>
      <c r="D20" s="4"/>
      <c r="E20" s="4"/>
      <c r="F20" s="4"/>
      <c r="G20" s="2"/>
    </row>
    <row r="21" spans="1:7" ht="20.100000000000001" customHeight="1" x14ac:dyDescent="0.25">
      <c r="A21" s="6" t="s">
        <v>136</v>
      </c>
      <c r="B21" s="4"/>
      <c r="C21" s="4"/>
      <c r="D21" s="4"/>
      <c r="E21" s="4"/>
      <c r="F21" s="4"/>
      <c r="G21" s="2"/>
    </row>
    <row r="22" spans="1:7" ht="20.100000000000001" customHeight="1" x14ac:dyDescent="0.25">
      <c r="A22" s="4"/>
      <c r="B22" s="4"/>
      <c r="C22" s="4"/>
      <c r="D22" s="4"/>
      <c r="E22" s="4"/>
      <c r="F22" s="4"/>
      <c r="G22" s="2"/>
    </row>
    <row r="23" spans="1:7" ht="20.100000000000001" customHeight="1" x14ac:dyDescent="0.25">
      <c r="A23" s="4"/>
      <c r="B23" s="4"/>
      <c r="C23" s="4"/>
      <c r="D23" s="4"/>
      <c r="E23" s="4"/>
      <c r="F23" s="4"/>
      <c r="G23" s="2"/>
    </row>
    <row r="24" spans="1:7" ht="20.100000000000001" customHeight="1" x14ac:dyDescent="0.25">
      <c r="A24" s="4"/>
      <c r="B24" s="4"/>
      <c r="C24" s="4"/>
      <c r="D24" s="4"/>
      <c r="E24" s="4"/>
      <c r="F24" s="4"/>
      <c r="G24" s="2"/>
    </row>
    <row r="25" spans="1:7" ht="20.100000000000001" customHeight="1" x14ac:dyDescent="0.25">
      <c r="A25" s="4"/>
      <c r="B25" s="4"/>
      <c r="C25" s="4"/>
      <c r="D25" s="4"/>
      <c r="E25" s="4"/>
      <c r="F25" s="4"/>
      <c r="G25" s="2"/>
    </row>
    <row r="26" spans="1:7" ht="20.100000000000001" customHeight="1" x14ac:dyDescent="0.25">
      <c r="A26" s="4"/>
      <c r="B26" s="4"/>
      <c r="C26" s="4"/>
      <c r="D26" s="4"/>
      <c r="E26" s="4"/>
      <c r="F26" s="4"/>
      <c r="G26" s="2"/>
    </row>
    <row r="27" spans="1:7" ht="20.100000000000001" customHeight="1" x14ac:dyDescent="0.25">
      <c r="A27" s="4"/>
      <c r="B27" s="4"/>
      <c r="C27" s="4"/>
      <c r="D27" s="4"/>
      <c r="E27" s="4"/>
      <c r="F27" s="4"/>
      <c r="G27" s="2"/>
    </row>
    <row r="28" spans="1:7" ht="20.100000000000001" customHeight="1" x14ac:dyDescent="0.25">
      <c r="A28" s="4"/>
      <c r="B28" s="4"/>
      <c r="C28" s="4"/>
      <c r="D28" s="4"/>
      <c r="E28" s="4"/>
      <c r="F28" s="4"/>
      <c r="G28" s="2"/>
    </row>
  </sheetData>
  <mergeCells count="6">
    <mergeCell ref="C2:G2"/>
    <mergeCell ref="C1:G1"/>
    <mergeCell ref="F6:G6"/>
    <mergeCell ref="C3:D3"/>
    <mergeCell ref="A1:B3"/>
    <mergeCell ref="E3:F3"/>
  </mergeCells>
  <conditionalFormatting sqref="E9">
    <cfRule type="expression" dxfId="19" priority="1">
      <formula>AND(E9&lt;&gt;"", F9&lt;&gt;"", E9&lt;F9)</formula>
    </cfRule>
  </conditionalFormatting>
  <conditionalFormatting sqref="E10">
    <cfRule type="expression" dxfId="18" priority="2">
      <formula>AND(E10&lt;&gt;"", F10&lt;&gt;"", E10&lt;F10)</formula>
    </cfRule>
  </conditionalFormatting>
  <conditionalFormatting sqref="E11">
    <cfRule type="expression" dxfId="17" priority="3">
      <formula>AND(E11&lt;&gt;"", F11&lt;&gt;"", E11&lt;F11)</formula>
    </cfRule>
  </conditionalFormatting>
  <conditionalFormatting sqref="E12">
    <cfRule type="expression" dxfId="16" priority="4">
      <formula>AND(E12&lt;&gt;"", F12&lt;&gt;"", E12&lt;F12)</formula>
    </cfRule>
  </conditionalFormatting>
  <conditionalFormatting sqref="E13">
    <cfRule type="expression" dxfId="15" priority="5">
      <formula>AND(E13&lt;&gt;"", F13&lt;&gt;"", E13&lt;F13)</formula>
    </cfRule>
  </conditionalFormatting>
  <conditionalFormatting sqref="E14">
    <cfRule type="expression" dxfId="14" priority="6">
      <formula>AND(E14&lt;&gt;"", F14&lt;&gt;"", E14&lt;F14)</formula>
    </cfRule>
  </conditionalFormatting>
  <conditionalFormatting sqref="E15">
    <cfRule type="expression" dxfId="13" priority="7">
      <formula>AND(E15&lt;&gt;"", F15&lt;&gt;"", E15&lt;F15)</formula>
    </cfRule>
  </conditionalFormatting>
  <conditionalFormatting sqref="E16">
    <cfRule type="expression" dxfId="12" priority="8">
      <formula>AND(E16&lt;&gt;"", F16&lt;&gt;"", E16&lt;F16)</formula>
    </cfRule>
  </conditionalFormatting>
  <conditionalFormatting sqref="E17">
    <cfRule type="expression" dxfId="11" priority="9">
      <formula>AND(E17&lt;&gt;"", F17&lt;&gt;"", E17&lt;F17)</formula>
    </cfRule>
  </conditionalFormatting>
  <conditionalFormatting sqref="E18">
    <cfRule type="expression" dxfId="10" priority="10">
      <formula>AND(E18&lt;&gt;"", F18&lt;&gt;"", E18&lt;F18)</formula>
    </cfRule>
  </conditionalFormatting>
  <conditionalFormatting sqref="E19">
    <cfRule type="expression" dxfId="9" priority="11">
      <formula>AND(E19&lt;&gt;"", F19&lt;&gt;"", E19&lt;F19)</formula>
    </cfRule>
  </conditionalFormatting>
  <conditionalFormatting sqref="E20">
    <cfRule type="expression" dxfId="8" priority="12">
      <formula>AND(E20&lt;&gt;"", F20&lt;&gt;"", E20&lt;F20)</formula>
    </cfRule>
  </conditionalFormatting>
  <conditionalFormatting sqref="E21">
    <cfRule type="expression" dxfId="7" priority="13">
      <formula>AND(E21&lt;&gt;"", F21&lt;&gt;"", E21&lt;F21)</formula>
    </cfRule>
  </conditionalFormatting>
  <conditionalFormatting sqref="E22">
    <cfRule type="expression" dxfId="6" priority="14">
      <formula>AND(E22&lt;&gt;"", F22&lt;&gt;"", E22&lt;F22)</formula>
    </cfRule>
  </conditionalFormatting>
  <conditionalFormatting sqref="E23">
    <cfRule type="expression" dxfId="5" priority="15">
      <formula>AND(E23&lt;&gt;"", F23&lt;&gt;"", E23&lt;F23)</formula>
    </cfRule>
  </conditionalFormatting>
  <conditionalFormatting sqref="E24">
    <cfRule type="expression" dxfId="4" priority="16">
      <formula>AND(E24&lt;&gt;"", F24&lt;&gt;"", E24&lt;F24)</formula>
    </cfRule>
  </conditionalFormatting>
  <conditionalFormatting sqref="E25">
    <cfRule type="expression" dxfId="3" priority="17">
      <formula>AND(E25&lt;&gt;"", F25&lt;&gt;"", E25&lt;F25)</formula>
    </cfRule>
  </conditionalFormatting>
  <conditionalFormatting sqref="E26">
    <cfRule type="expression" dxfId="2" priority="18">
      <formula>AND(E26&lt;&gt;"", F26&lt;&gt;"", E26&lt;F26)</formula>
    </cfRule>
  </conditionalFormatting>
  <conditionalFormatting sqref="E27">
    <cfRule type="expression" dxfId="1" priority="19">
      <formula>AND(E27&lt;&gt;"", F27&lt;&gt;"", E27&lt;F27)</formula>
    </cfRule>
  </conditionalFormatting>
  <conditionalFormatting sqref="E28">
    <cfRule type="expression" dxfId="0" priority="20">
      <formula>AND(E28&lt;&gt;"", F28&lt;&gt;"", E28&lt;F28)</formula>
    </cfRule>
  </conditionalFormatting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>
      <selection sqref="A1:B3"/>
    </sheetView>
  </sheetViews>
  <sheetFormatPr defaultRowHeight="15" x14ac:dyDescent="0.25"/>
  <cols>
    <col min="1" max="1" width="22" customWidth="1"/>
    <col min="2" max="5" width="18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137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5" t="s">
        <v>138</v>
      </c>
      <c r="B6" s="14"/>
      <c r="C6" s="14"/>
      <c r="D6" s="14"/>
      <c r="E6" s="14"/>
    </row>
    <row r="7" spans="1:8" ht="21.95" customHeight="1" x14ac:dyDescent="0.25">
      <c r="A7" s="1" t="s">
        <v>100</v>
      </c>
      <c r="B7" s="13"/>
      <c r="C7" s="14"/>
      <c r="D7" s="14"/>
      <c r="E7" s="14"/>
    </row>
    <row r="8" spans="1:8" ht="21.95" customHeight="1" x14ac:dyDescent="0.25">
      <c r="A8" s="1" t="s">
        <v>139</v>
      </c>
      <c r="B8" s="13"/>
      <c r="C8" s="14"/>
      <c r="D8" s="14"/>
      <c r="E8" s="14"/>
    </row>
    <row r="9" spans="1:8" ht="21.95" customHeight="1" x14ac:dyDescent="0.25">
      <c r="A9" s="1" t="s">
        <v>35</v>
      </c>
      <c r="B9" s="13"/>
      <c r="C9" s="14"/>
      <c r="D9" s="14"/>
      <c r="E9" s="14"/>
    </row>
    <row r="10" spans="1:8" ht="21.95" customHeight="1" x14ac:dyDescent="0.25">
      <c r="A10" s="1" t="s">
        <v>140</v>
      </c>
      <c r="B10" s="13"/>
      <c r="C10" s="14"/>
      <c r="D10" s="14"/>
      <c r="E10" s="14"/>
    </row>
    <row r="11" spans="1:8" ht="21.95" customHeight="1" x14ac:dyDescent="0.25">
      <c r="A11" s="1" t="s">
        <v>45</v>
      </c>
      <c r="B11" s="13"/>
      <c r="C11" s="14"/>
      <c r="D11" s="14"/>
      <c r="E11" s="14"/>
    </row>
    <row r="13" spans="1:8" x14ac:dyDescent="0.25">
      <c r="A13" s="15" t="s">
        <v>141</v>
      </c>
      <c r="B13" s="14"/>
      <c r="C13" s="14"/>
      <c r="D13" s="14"/>
      <c r="E13" s="14"/>
    </row>
    <row r="14" spans="1:8" ht="20.100000000000001" customHeight="1" x14ac:dyDescent="0.25">
      <c r="A14" s="18" t="s">
        <v>142</v>
      </c>
      <c r="B14" s="14"/>
      <c r="C14" s="14"/>
      <c r="D14" s="14"/>
      <c r="E14" s="14"/>
    </row>
    <row r="15" spans="1:8" ht="30" customHeight="1" x14ac:dyDescent="0.25">
      <c r="A15" s="13"/>
      <c r="B15" s="14"/>
      <c r="C15" s="14"/>
      <c r="D15" s="14"/>
      <c r="E15" s="14"/>
    </row>
    <row r="16" spans="1:8" ht="20.100000000000001" customHeight="1" x14ac:dyDescent="0.25">
      <c r="A16" s="18" t="s">
        <v>143</v>
      </c>
      <c r="B16" s="14"/>
      <c r="C16" s="14"/>
      <c r="D16" s="14"/>
      <c r="E16" s="14"/>
    </row>
    <row r="17" spans="1:8" ht="30" customHeight="1" x14ac:dyDescent="0.25">
      <c r="A17" s="13"/>
      <c r="B17" s="14"/>
      <c r="C17" s="14"/>
      <c r="D17" s="14"/>
      <c r="E17" s="14"/>
    </row>
    <row r="18" spans="1:8" ht="20.100000000000001" customHeight="1" x14ac:dyDescent="0.25">
      <c r="A18" s="18" t="s">
        <v>144</v>
      </c>
      <c r="B18" s="14"/>
      <c r="C18" s="14"/>
      <c r="D18" s="14"/>
      <c r="E18" s="14"/>
    </row>
    <row r="19" spans="1:8" ht="30" customHeight="1" x14ac:dyDescent="0.25">
      <c r="A19" s="13"/>
      <c r="B19" s="14"/>
      <c r="C19" s="14"/>
      <c r="D19" s="14"/>
      <c r="E19" s="14"/>
    </row>
    <row r="20" spans="1:8" ht="20.100000000000001" customHeight="1" x14ac:dyDescent="0.25">
      <c r="A20" s="18" t="s">
        <v>145</v>
      </c>
      <c r="B20" s="14"/>
      <c r="C20" s="14"/>
      <c r="D20" s="14"/>
      <c r="E20" s="14"/>
    </row>
    <row r="21" spans="1:8" ht="30" customHeight="1" x14ac:dyDescent="0.25">
      <c r="A21" s="13"/>
      <c r="B21" s="14"/>
      <c r="C21" s="14"/>
      <c r="D21" s="14"/>
      <c r="E21" s="14"/>
    </row>
    <row r="22" spans="1:8" ht="20.100000000000001" customHeight="1" x14ac:dyDescent="0.25">
      <c r="A22" s="18" t="s">
        <v>146</v>
      </c>
      <c r="B22" s="14"/>
      <c r="C22" s="14"/>
      <c r="D22" s="14"/>
      <c r="E22" s="14"/>
    </row>
    <row r="23" spans="1:8" ht="30" customHeight="1" x14ac:dyDescent="0.25">
      <c r="A23" s="13"/>
      <c r="B23" s="14"/>
      <c r="C23" s="14"/>
      <c r="D23" s="14"/>
      <c r="E23" s="14"/>
    </row>
    <row r="25" spans="1:8" x14ac:dyDescent="0.25">
      <c r="A25" s="20" t="s">
        <v>147</v>
      </c>
      <c r="B25" s="14"/>
      <c r="C25" s="14"/>
      <c r="D25" s="14"/>
      <c r="E25" s="14"/>
    </row>
    <row r="26" spans="1:8" x14ac:dyDescent="0.25">
      <c r="A26" s="1" t="s">
        <v>148</v>
      </c>
      <c r="B26" s="19"/>
      <c r="C26" s="14"/>
      <c r="D26" s="1" t="s">
        <v>149</v>
      </c>
      <c r="E26" s="4"/>
    </row>
    <row r="29" spans="1:8" x14ac:dyDescent="0.25">
      <c r="A29" s="15" t="s">
        <v>27</v>
      </c>
      <c r="B29" s="14"/>
      <c r="C29" s="14"/>
      <c r="D29" s="14"/>
      <c r="E29" s="14"/>
    </row>
    <row r="30" spans="1:8" ht="24.95" customHeight="1" x14ac:dyDescent="0.25">
      <c r="A30" s="1" t="s">
        <v>28</v>
      </c>
      <c r="B30" s="13"/>
      <c r="C30" s="14"/>
      <c r="D30" s="1" t="s">
        <v>29</v>
      </c>
      <c r="E30" s="13"/>
      <c r="F30" s="14"/>
      <c r="G30" s="1" t="s">
        <v>7</v>
      </c>
      <c r="H30" s="2"/>
    </row>
    <row r="31" spans="1:8" ht="24.95" customHeight="1" x14ac:dyDescent="0.25">
      <c r="A31" s="1" t="s">
        <v>30</v>
      </c>
      <c r="B31" s="13"/>
      <c r="C31" s="14"/>
      <c r="D31" s="1" t="s">
        <v>29</v>
      </c>
      <c r="E31" s="13"/>
      <c r="F31" s="14"/>
      <c r="G31" s="1" t="s">
        <v>7</v>
      </c>
      <c r="H31" s="2"/>
    </row>
    <row r="32" spans="1:8" ht="24.95" customHeight="1" x14ac:dyDescent="0.25">
      <c r="A32" s="1" t="s">
        <v>31</v>
      </c>
      <c r="B32" s="13"/>
      <c r="C32" s="14"/>
      <c r="D32" s="1" t="s">
        <v>29</v>
      </c>
      <c r="E32" s="13"/>
      <c r="F32" s="14"/>
      <c r="G32" s="1" t="s">
        <v>7</v>
      </c>
      <c r="H32" s="2"/>
    </row>
  </sheetData>
  <mergeCells count="31">
    <mergeCell ref="C3:D3"/>
    <mergeCell ref="E3:F3"/>
    <mergeCell ref="B8:E8"/>
    <mergeCell ref="A20:E20"/>
    <mergeCell ref="E32:F32"/>
    <mergeCell ref="A19:E19"/>
    <mergeCell ref="B32:C32"/>
    <mergeCell ref="A13:E13"/>
    <mergeCell ref="B26:C26"/>
    <mergeCell ref="B10:E10"/>
    <mergeCell ref="A14:E14"/>
    <mergeCell ref="A22:E22"/>
    <mergeCell ref="A17:E17"/>
    <mergeCell ref="A29:E29"/>
    <mergeCell ref="B30:C30"/>
    <mergeCell ref="B9:E9"/>
    <mergeCell ref="A15:E15"/>
    <mergeCell ref="B31:C31"/>
    <mergeCell ref="A6:E6"/>
    <mergeCell ref="A1:B3"/>
    <mergeCell ref="A16:E16"/>
    <mergeCell ref="A25:E25"/>
    <mergeCell ref="C1:G1"/>
    <mergeCell ref="B7:E7"/>
    <mergeCell ref="A18:E18"/>
    <mergeCell ref="E31:F31"/>
    <mergeCell ref="A21:E21"/>
    <mergeCell ref="E30:F30"/>
    <mergeCell ref="C2:G2"/>
    <mergeCell ref="B11:E11"/>
    <mergeCell ref="A23:E23"/>
  </mergeCells>
  <dataValidations count="2">
    <dataValidation type="list" allowBlank="1" sqref="B26">
      <formula1>"ACCEPTABLE,NOT ACCEPTABLE,REQUIRES FURTHER EVALUATION"</formula1>
    </dataValidation>
    <dataValidation type="list" allowBlank="1" sqref="E26">
      <formula1>"Yes,No"</formula1>
    </dataValidation>
  </dataValidation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selection sqref="A1:B3"/>
    </sheetView>
  </sheetViews>
  <sheetFormatPr defaultRowHeight="15" x14ac:dyDescent="0.25"/>
  <cols>
    <col min="1" max="1" width="18" customWidth="1"/>
    <col min="2" max="6" width="14" customWidth="1"/>
    <col min="7" max="7" width="16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150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5" t="s">
        <v>151</v>
      </c>
      <c r="B6" s="14"/>
      <c r="C6" s="14"/>
      <c r="D6" s="14"/>
      <c r="E6" s="14"/>
      <c r="F6" s="14"/>
      <c r="G6" s="14"/>
    </row>
    <row r="7" spans="1:8" x14ac:dyDescent="0.25">
      <c r="A7" s="1" t="s">
        <v>152</v>
      </c>
      <c r="B7" s="2"/>
      <c r="C7" s="1" t="s">
        <v>153</v>
      </c>
      <c r="D7" s="2"/>
      <c r="E7" s="1" t="s">
        <v>154</v>
      </c>
      <c r="F7" s="13"/>
      <c r="G7" s="14"/>
    </row>
    <row r="8" spans="1:8" x14ac:dyDescent="0.25">
      <c r="A8" s="1" t="s">
        <v>102</v>
      </c>
      <c r="B8" s="2"/>
      <c r="C8" s="1" t="s">
        <v>45</v>
      </c>
      <c r="D8" s="2"/>
      <c r="E8" s="1" t="s">
        <v>155</v>
      </c>
      <c r="F8" s="13"/>
      <c r="G8" s="14"/>
    </row>
    <row r="10" spans="1:8" x14ac:dyDescent="0.25">
      <c r="A10" s="20" t="s">
        <v>156</v>
      </c>
      <c r="B10" s="14"/>
      <c r="C10" s="14"/>
      <c r="D10" s="14"/>
      <c r="E10" s="14"/>
      <c r="F10" s="14"/>
      <c r="G10" s="14"/>
    </row>
    <row r="11" spans="1:8" x14ac:dyDescent="0.25">
      <c r="A11" s="3" t="s">
        <v>53</v>
      </c>
      <c r="B11" s="3" t="s">
        <v>157</v>
      </c>
      <c r="C11" s="3" t="s">
        <v>158</v>
      </c>
      <c r="D11" s="3" t="s">
        <v>159</v>
      </c>
      <c r="E11" s="3" t="s">
        <v>160</v>
      </c>
      <c r="F11" s="3" t="s">
        <v>109</v>
      </c>
      <c r="G11" s="3" t="s">
        <v>59</v>
      </c>
    </row>
    <row r="12" spans="1:8" ht="24" customHeight="1" x14ac:dyDescent="0.25">
      <c r="A12" s="1" t="s">
        <v>161</v>
      </c>
      <c r="B12" s="4"/>
      <c r="C12" s="4"/>
      <c r="D12" s="4"/>
      <c r="E12" s="4"/>
      <c r="F12" s="7" t="str">
        <f>IF(COUNT(B12:E12)&gt;0,MIN(B12:E12),"")</f>
        <v/>
      </c>
      <c r="G12" s="5" t="str">
        <f>IF(F12="","",IF(F12&gt;=$D$8,"OK","REVIEW"))</f>
        <v/>
      </c>
    </row>
    <row r="13" spans="1:8" ht="24" customHeight="1" x14ac:dyDescent="0.25">
      <c r="A13" s="1" t="s">
        <v>162</v>
      </c>
      <c r="B13" s="4"/>
      <c r="C13" s="4"/>
      <c r="D13" s="4"/>
      <c r="E13" s="4"/>
      <c r="F13" s="7" t="str">
        <f>IF(COUNT(B13:E13)&gt;0,MIN(B13:E13),"")</f>
        <v/>
      </c>
      <c r="G13" s="5" t="str">
        <f>IF(F13="","",IF(F13&gt;=$D$8,"OK","REVIEW"))</f>
        <v/>
      </c>
    </row>
    <row r="14" spans="1:8" ht="24" customHeight="1" x14ac:dyDescent="0.25">
      <c r="A14" s="1" t="s">
        <v>163</v>
      </c>
      <c r="B14" s="4"/>
      <c r="C14" s="4"/>
      <c r="D14" s="4"/>
      <c r="E14" s="4"/>
      <c r="F14" s="7" t="str">
        <f>IF(COUNT(B14:E14)&gt;0,MIN(B14:E14),"")</f>
        <v/>
      </c>
      <c r="G14" s="5" t="str">
        <f>IF(F14="","",IF(F14&gt;=$D$8,"OK","REVIEW"))</f>
        <v/>
      </c>
    </row>
    <row r="16" spans="1:8" x14ac:dyDescent="0.25">
      <c r="A16" s="25" t="s">
        <v>164</v>
      </c>
      <c r="B16" s="14"/>
      <c r="C16" s="14"/>
      <c r="D16" s="14"/>
      <c r="E16" s="14"/>
      <c r="F16" s="10" t="str">
        <f>IF(COUNT(F12:F14)&gt;0,MIN(F12:F14),"")</f>
        <v/>
      </c>
    </row>
    <row r="19" spans="1:8" x14ac:dyDescent="0.25">
      <c r="A19" s="15" t="s">
        <v>27</v>
      </c>
      <c r="B19" s="14"/>
      <c r="C19" s="14"/>
      <c r="D19" s="14"/>
      <c r="E19" s="14"/>
      <c r="F19" s="14"/>
      <c r="G19" s="14"/>
    </row>
    <row r="20" spans="1:8" ht="24.95" customHeight="1" x14ac:dyDescent="0.25">
      <c r="A20" s="1" t="s">
        <v>28</v>
      </c>
      <c r="B20" s="13"/>
      <c r="C20" s="14"/>
      <c r="D20" s="1" t="s">
        <v>29</v>
      </c>
      <c r="E20" s="13"/>
      <c r="F20" s="14"/>
      <c r="G20" s="1" t="s">
        <v>7</v>
      </c>
      <c r="H20" s="2"/>
    </row>
    <row r="21" spans="1:8" ht="24.95" customHeight="1" x14ac:dyDescent="0.25">
      <c r="A21" s="1" t="s">
        <v>30</v>
      </c>
      <c r="B21" s="13"/>
      <c r="C21" s="14"/>
      <c r="D21" s="1" t="s">
        <v>29</v>
      </c>
      <c r="E21" s="13"/>
      <c r="F21" s="14"/>
      <c r="G21" s="1" t="s">
        <v>7</v>
      </c>
      <c r="H21" s="2"/>
    </row>
    <row r="22" spans="1:8" ht="24.95" customHeight="1" x14ac:dyDescent="0.25">
      <c r="A22" s="1" t="s">
        <v>31</v>
      </c>
      <c r="B22" s="13"/>
      <c r="C22" s="14"/>
      <c r="D22" s="1" t="s">
        <v>29</v>
      </c>
      <c r="E22" s="13"/>
      <c r="F22" s="14"/>
      <c r="G22" s="1" t="s">
        <v>7</v>
      </c>
      <c r="H22" s="2"/>
    </row>
  </sheetData>
  <mergeCells count="17">
    <mergeCell ref="C2:G2"/>
    <mergeCell ref="A6:G6"/>
    <mergeCell ref="C1:G1"/>
    <mergeCell ref="B20:C20"/>
    <mergeCell ref="B22:C22"/>
    <mergeCell ref="E22:F22"/>
    <mergeCell ref="C3:D3"/>
    <mergeCell ref="A1:B3"/>
    <mergeCell ref="E3:F3"/>
    <mergeCell ref="F7:G7"/>
    <mergeCell ref="F8:G8"/>
    <mergeCell ref="A19:G19"/>
    <mergeCell ref="E20:F20"/>
    <mergeCell ref="B21:C21"/>
    <mergeCell ref="A10:G10"/>
    <mergeCell ref="E21:F21"/>
    <mergeCell ref="A16:E16"/>
  </mergeCell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tabSelected="1" workbookViewId="0">
      <pane ySplit="8" topLeftCell="A9" activePane="bottomLeft" state="frozen"/>
      <selection pane="bottomLeft" activeCell="G9" sqref="G9"/>
    </sheetView>
  </sheetViews>
  <sheetFormatPr defaultRowHeight="15" x14ac:dyDescent="0.25"/>
  <cols>
    <col min="1" max="6" width="14" customWidth="1"/>
    <col min="7" max="7" width="18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165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" t="s">
        <v>152</v>
      </c>
      <c r="B6" s="2"/>
      <c r="C6" s="1" t="s">
        <v>153</v>
      </c>
      <c r="D6" s="2"/>
      <c r="E6" s="1" t="s">
        <v>166</v>
      </c>
      <c r="F6" s="13"/>
      <c r="G6" s="14"/>
    </row>
    <row r="8" spans="1:8" ht="27.95" customHeight="1" x14ac:dyDescent="0.25">
      <c r="A8" s="3" t="s">
        <v>167</v>
      </c>
      <c r="B8" s="3" t="s">
        <v>74</v>
      </c>
      <c r="C8" s="3" t="s">
        <v>87</v>
      </c>
      <c r="D8" s="3" t="s">
        <v>168</v>
      </c>
      <c r="E8" s="3" t="s">
        <v>76</v>
      </c>
      <c r="F8" s="3" t="s">
        <v>169</v>
      </c>
      <c r="G8" s="3" t="s">
        <v>59</v>
      </c>
    </row>
    <row r="9" spans="1:8" ht="20.100000000000001" customHeight="1" x14ac:dyDescent="0.25">
      <c r="A9" s="6">
        <v>1</v>
      </c>
      <c r="B9" s="4"/>
      <c r="C9" s="4"/>
      <c r="D9" s="4"/>
      <c r="E9" s="4"/>
      <c r="F9" s="11" t="str">
        <f t="shared" ref="F9:F20" si="0">IF(AND(B9&lt;&gt;"",C9&lt;&gt;""),ROUND((B9-C9)/B9*100,1),"")</f>
        <v/>
      </c>
      <c r="G9" s="5" t="str">
        <f t="shared" ref="G9:G20" si="1">IF(OR(C9="",E9=""),"",IF(C9&gt;=E9,"OK","BELOW Tmin"))</f>
        <v/>
      </c>
    </row>
    <row r="10" spans="1:8" ht="20.100000000000001" customHeight="1" x14ac:dyDescent="0.25">
      <c r="A10" s="6">
        <v>2</v>
      </c>
      <c r="B10" s="4"/>
      <c r="C10" s="4"/>
      <c r="D10" s="4"/>
      <c r="E10" s="4"/>
      <c r="F10" s="11" t="str">
        <f t="shared" si="0"/>
        <v/>
      </c>
      <c r="G10" s="5" t="str">
        <f t="shared" si="1"/>
        <v/>
      </c>
    </row>
    <row r="11" spans="1:8" ht="20.100000000000001" customHeight="1" x14ac:dyDescent="0.25">
      <c r="A11" s="6">
        <v>3</v>
      </c>
      <c r="B11" s="4"/>
      <c r="C11" s="4"/>
      <c r="D11" s="4"/>
      <c r="E11" s="4"/>
      <c r="F11" s="11" t="str">
        <f t="shared" si="0"/>
        <v/>
      </c>
      <c r="G11" s="5" t="str">
        <f t="shared" si="1"/>
        <v/>
      </c>
    </row>
    <row r="12" spans="1:8" ht="20.100000000000001" customHeight="1" x14ac:dyDescent="0.25">
      <c r="A12" s="6">
        <v>4</v>
      </c>
      <c r="B12" s="4"/>
      <c r="C12" s="4"/>
      <c r="D12" s="4"/>
      <c r="E12" s="4"/>
      <c r="F12" s="11" t="str">
        <f t="shared" si="0"/>
        <v/>
      </c>
      <c r="G12" s="5" t="str">
        <f t="shared" si="1"/>
        <v/>
      </c>
    </row>
    <row r="13" spans="1:8" ht="20.100000000000001" customHeight="1" x14ac:dyDescent="0.25">
      <c r="A13" s="6">
        <v>5</v>
      </c>
      <c r="B13" s="4"/>
      <c r="C13" s="4"/>
      <c r="D13" s="4"/>
      <c r="E13" s="4"/>
      <c r="F13" s="11" t="str">
        <f t="shared" si="0"/>
        <v/>
      </c>
      <c r="G13" s="5" t="str">
        <f t="shared" si="1"/>
        <v/>
      </c>
    </row>
    <row r="14" spans="1:8" ht="20.100000000000001" customHeight="1" x14ac:dyDescent="0.25">
      <c r="A14" s="6">
        <v>6</v>
      </c>
      <c r="B14" s="4"/>
      <c r="C14" s="4"/>
      <c r="D14" s="4"/>
      <c r="E14" s="4"/>
      <c r="F14" s="11" t="str">
        <f t="shared" si="0"/>
        <v/>
      </c>
      <c r="G14" s="5" t="str">
        <f t="shared" si="1"/>
        <v/>
      </c>
    </row>
    <row r="15" spans="1:8" ht="20.100000000000001" customHeight="1" x14ac:dyDescent="0.25">
      <c r="A15" s="6">
        <v>7</v>
      </c>
      <c r="B15" s="4"/>
      <c r="C15" s="4"/>
      <c r="D15" s="4"/>
      <c r="E15" s="4"/>
      <c r="F15" s="11" t="str">
        <f t="shared" si="0"/>
        <v/>
      </c>
      <c r="G15" s="5" t="str">
        <f t="shared" si="1"/>
        <v/>
      </c>
    </row>
    <row r="16" spans="1:8" ht="20.100000000000001" customHeight="1" x14ac:dyDescent="0.25">
      <c r="A16" s="6">
        <v>8</v>
      </c>
      <c r="B16" s="4"/>
      <c r="C16" s="4"/>
      <c r="D16" s="4"/>
      <c r="E16" s="4"/>
      <c r="F16" s="11" t="str">
        <f t="shared" si="0"/>
        <v/>
      </c>
      <c r="G16" s="5" t="str">
        <f t="shared" si="1"/>
        <v/>
      </c>
    </row>
    <row r="17" spans="1:8" ht="20.100000000000001" customHeight="1" x14ac:dyDescent="0.25">
      <c r="A17" s="6">
        <v>9</v>
      </c>
      <c r="B17" s="4"/>
      <c r="C17" s="4"/>
      <c r="D17" s="4"/>
      <c r="E17" s="4"/>
      <c r="F17" s="11" t="str">
        <f t="shared" si="0"/>
        <v/>
      </c>
      <c r="G17" s="5" t="str">
        <f t="shared" si="1"/>
        <v/>
      </c>
    </row>
    <row r="18" spans="1:8" ht="20.100000000000001" customHeight="1" x14ac:dyDescent="0.25">
      <c r="A18" s="6">
        <v>10</v>
      </c>
      <c r="B18" s="4"/>
      <c r="C18" s="4"/>
      <c r="D18" s="4"/>
      <c r="E18" s="4"/>
      <c r="F18" s="11" t="str">
        <f t="shared" si="0"/>
        <v/>
      </c>
      <c r="G18" s="5" t="str">
        <f t="shared" si="1"/>
        <v/>
      </c>
    </row>
    <row r="19" spans="1:8" ht="20.100000000000001" customHeight="1" x14ac:dyDescent="0.25">
      <c r="A19" s="6">
        <v>11</v>
      </c>
      <c r="B19" s="4"/>
      <c r="C19" s="4"/>
      <c r="D19" s="4"/>
      <c r="E19" s="4"/>
      <c r="F19" s="11" t="str">
        <f t="shared" si="0"/>
        <v/>
      </c>
      <c r="G19" s="5" t="str">
        <f t="shared" si="1"/>
        <v/>
      </c>
    </row>
    <row r="20" spans="1:8" ht="20.100000000000001" customHeight="1" x14ac:dyDescent="0.25">
      <c r="A20" s="6">
        <v>12</v>
      </c>
      <c r="B20" s="4"/>
      <c r="C20" s="4"/>
      <c r="D20" s="4"/>
      <c r="E20" s="4"/>
      <c r="F20" s="11" t="str">
        <f t="shared" si="0"/>
        <v/>
      </c>
      <c r="G20" s="5" t="str">
        <f t="shared" si="1"/>
        <v/>
      </c>
    </row>
    <row r="22" spans="1:8" x14ac:dyDescent="0.25">
      <c r="A22" s="25" t="s">
        <v>170</v>
      </c>
      <c r="B22" s="14"/>
      <c r="C22" s="10" t="str">
        <f>IF(COUNT(C9:C20)&gt;0,MIN(C9:C20),"")</f>
        <v/>
      </c>
      <c r="D22" s="9" t="s">
        <v>171</v>
      </c>
      <c r="F22" s="12" t="str">
        <f>IF(COUNT(F9:F20)&gt;0,MAX(F9:F20),"")</f>
        <v/>
      </c>
    </row>
    <row r="25" spans="1:8" x14ac:dyDescent="0.25">
      <c r="A25" s="15" t="s">
        <v>27</v>
      </c>
      <c r="B25" s="14"/>
      <c r="C25" s="14"/>
      <c r="D25" s="14"/>
      <c r="E25" s="14"/>
      <c r="F25" s="14"/>
      <c r="G25" s="14"/>
    </row>
    <row r="26" spans="1:8" ht="24.95" customHeight="1" x14ac:dyDescent="0.25">
      <c r="A26" s="1" t="s">
        <v>28</v>
      </c>
      <c r="B26" s="13"/>
      <c r="C26" s="14"/>
      <c r="D26" s="1" t="s">
        <v>29</v>
      </c>
      <c r="E26" s="13"/>
      <c r="F26" s="14"/>
      <c r="G26" s="1" t="s">
        <v>7</v>
      </c>
      <c r="H26" s="2"/>
    </row>
    <row r="27" spans="1:8" ht="24.95" customHeight="1" x14ac:dyDescent="0.25">
      <c r="A27" s="1" t="s">
        <v>30</v>
      </c>
      <c r="B27" s="13"/>
      <c r="C27" s="14"/>
      <c r="D27" s="1" t="s">
        <v>29</v>
      </c>
      <c r="E27" s="13"/>
      <c r="F27" s="14"/>
      <c r="G27" s="1" t="s">
        <v>7</v>
      </c>
      <c r="H27" s="2"/>
    </row>
    <row r="28" spans="1:8" ht="24.95" customHeight="1" x14ac:dyDescent="0.25">
      <c r="A28" s="1" t="s">
        <v>31</v>
      </c>
      <c r="B28" s="13"/>
      <c r="C28" s="14"/>
      <c r="D28" s="1" t="s">
        <v>29</v>
      </c>
      <c r="E28" s="13"/>
      <c r="F28" s="14"/>
      <c r="G28" s="1" t="s">
        <v>7</v>
      </c>
      <c r="H28" s="2"/>
    </row>
  </sheetData>
  <mergeCells count="14">
    <mergeCell ref="A22:B22"/>
    <mergeCell ref="B26:C26"/>
    <mergeCell ref="C2:G2"/>
    <mergeCell ref="C1:G1"/>
    <mergeCell ref="B28:C28"/>
    <mergeCell ref="E27:F27"/>
    <mergeCell ref="E28:F28"/>
    <mergeCell ref="F6:G6"/>
    <mergeCell ref="A25:G25"/>
    <mergeCell ref="B27:C27"/>
    <mergeCell ref="E26:F26"/>
    <mergeCell ref="C3:D3"/>
    <mergeCell ref="A1:B3"/>
    <mergeCell ref="E3:F3"/>
  </mergeCell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workbookViewId="0">
      <selection sqref="A1:B3"/>
    </sheetView>
  </sheetViews>
  <sheetFormatPr defaultRowHeight="15" x14ac:dyDescent="0.25"/>
  <cols>
    <col min="1" max="5" width="20" customWidth="1"/>
  </cols>
  <sheetData>
    <row r="1" spans="1:8" ht="21.95" customHeight="1" x14ac:dyDescent="0.25">
      <c r="A1" s="15" t="s">
        <v>0</v>
      </c>
      <c r="B1" s="14"/>
      <c r="C1" s="17" t="s">
        <v>1</v>
      </c>
      <c r="D1" s="14"/>
      <c r="E1" s="14"/>
      <c r="F1" s="14"/>
      <c r="G1" s="14"/>
    </row>
    <row r="2" spans="1:8" ht="21.95" customHeight="1" x14ac:dyDescent="0.25">
      <c r="A2" s="14"/>
      <c r="B2" s="14"/>
      <c r="C2" s="16" t="s">
        <v>172</v>
      </c>
      <c r="D2" s="14"/>
      <c r="E2" s="14"/>
      <c r="F2" s="14"/>
      <c r="G2" s="14"/>
    </row>
    <row r="3" spans="1:8" ht="21.95" customHeight="1" x14ac:dyDescent="0.25">
      <c r="A3" s="14"/>
      <c r="B3" s="14"/>
      <c r="C3" s="18" t="s">
        <v>3</v>
      </c>
      <c r="D3" s="14"/>
      <c r="E3" s="18" t="s">
        <v>4</v>
      </c>
      <c r="F3" s="14"/>
      <c r="G3" s="1" t="s">
        <v>5</v>
      </c>
    </row>
    <row r="4" spans="1:8" ht="21.95" customHeight="1" x14ac:dyDescent="0.25">
      <c r="A4" s="1" t="s">
        <v>6</v>
      </c>
      <c r="B4" s="2"/>
      <c r="C4" s="1" t="s">
        <v>7</v>
      </c>
      <c r="D4" s="2"/>
      <c r="E4" s="1" t="s">
        <v>8</v>
      </c>
      <c r="F4" s="2"/>
      <c r="G4" s="1" t="s">
        <v>9</v>
      </c>
      <c r="H4" s="2"/>
    </row>
    <row r="6" spans="1:8" x14ac:dyDescent="0.25">
      <c r="A6" s="1" t="s">
        <v>173</v>
      </c>
      <c r="B6" s="2"/>
      <c r="C6" s="2" t="s">
        <v>7</v>
      </c>
      <c r="D6" s="1" t="s">
        <v>5</v>
      </c>
      <c r="E6" s="2"/>
    </row>
    <row r="8" spans="1:8" x14ac:dyDescent="0.25">
      <c r="A8" s="15" t="s">
        <v>174</v>
      </c>
      <c r="B8" s="14"/>
      <c r="C8" s="14"/>
      <c r="D8" s="14"/>
      <c r="E8" s="14"/>
    </row>
    <row r="9" spans="1:8" ht="18" customHeight="1" x14ac:dyDescent="0.25">
      <c r="A9" s="26"/>
      <c r="B9" s="14"/>
      <c r="C9" s="14"/>
      <c r="D9" s="14"/>
      <c r="E9" s="14"/>
    </row>
    <row r="10" spans="1:8" ht="18" customHeight="1" x14ac:dyDescent="0.25">
      <c r="A10" s="14"/>
      <c r="B10" s="14"/>
      <c r="C10" s="14"/>
      <c r="D10" s="14"/>
      <c r="E10" s="14"/>
    </row>
    <row r="11" spans="1:8" ht="18" customHeight="1" x14ac:dyDescent="0.25">
      <c r="A11" s="14"/>
      <c r="B11" s="14"/>
      <c r="C11" s="14"/>
      <c r="D11" s="14"/>
      <c r="E11" s="14"/>
    </row>
    <row r="12" spans="1:8" ht="18" customHeight="1" x14ac:dyDescent="0.25">
      <c r="A12" s="14"/>
      <c r="B12" s="14"/>
      <c r="C12" s="14"/>
      <c r="D12" s="14"/>
      <c r="E12" s="14"/>
    </row>
    <row r="13" spans="1:8" ht="18" customHeight="1" x14ac:dyDescent="0.25">
      <c r="A13" s="14"/>
      <c r="B13" s="14"/>
      <c r="C13" s="14"/>
      <c r="D13" s="14"/>
      <c r="E13" s="14"/>
    </row>
    <row r="14" spans="1:8" ht="18" customHeight="1" x14ac:dyDescent="0.25">
      <c r="A14" s="14"/>
      <c r="B14" s="14"/>
      <c r="C14" s="14"/>
      <c r="D14" s="14"/>
      <c r="E14" s="14"/>
    </row>
    <row r="15" spans="1:8" ht="18" customHeight="1" x14ac:dyDescent="0.25">
      <c r="A15" s="14"/>
      <c r="B15" s="14"/>
      <c r="C15" s="14"/>
      <c r="D15" s="14"/>
      <c r="E15" s="14"/>
    </row>
    <row r="16" spans="1:8" ht="18" customHeight="1" x14ac:dyDescent="0.25">
      <c r="A16" s="14"/>
      <c r="B16" s="14"/>
      <c r="C16" s="14"/>
      <c r="D16" s="14"/>
      <c r="E16" s="14"/>
    </row>
    <row r="17" spans="1:5" ht="18" customHeight="1" x14ac:dyDescent="0.25">
      <c r="A17" s="14"/>
      <c r="B17" s="14"/>
      <c r="C17" s="14"/>
      <c r="D17" s="14"/>
      <c r="E17" s="14"/>
    </row>
    <row r="18" spans="1:5" ht="18" customHeight="1" x14ac:dyDescent="0.25">
      <c r="A18" s="14"/>
      <c r="B18" s="14"/>
      <c r="C18" s="14"/>
      <c r="D18" s="14"/>
      <c r="E18" s="14"/>
    </row>
    <row r="19" spans="1:5" ht="18" customHeight="1" x14ac:dyDescent="0.25">
      <c r="A19" s="14"/>
      <c r="B19" s="14"/>
      <c r="C19" s="14"/>
      <c r="D19" s="14"/>
      <c r="E19" s="14"/>
    </row>
    <row r="20" spans="1:5" ht="18" customHeight="1" x14ac:dyDescent="0.25">
      <c r="A20" s="14"/>
      <c r="B20" s="14"/>
      <c r="C20" s="14"/>
      <c r="D20" s="14"/>
      <c r="E20" s="14"/>
    </row>
    <row r="21" spans="1:5" ht="18" customHeight="1" x14ac:dyDescent="0.25">
      <c r="A21" s="14"/>
      <c r="B21" s="14"/>
      <c r="C21" s="14"/>
      <c r="D21" s="14"/>
      <c r="E21" s="14"/>
    </row>
    <row r="22" spans="1:5" ht="18" customHeight="1" x14ac:dyDescent="0.25">
      <c r="A22" s="14"/>
      <c r="B22" s="14"/>
      <c r="C22" s="14"/>
      <c r="D22" s="14"/>
      <c r="E22" s="14"/>
    </row>
    <row r="23" spans="1:5" ht="18" customHeight="1" x14ac:dyDescent="0.25">
      <c r="A23" s="14"/>
      <c r="B23" s="14"/>
      <c r="C23" s="14"/>
      <c r="D23" s="14"/>
      <c r="E23" s="14"/>
    </row>
    <row r="24" spans="1:5" ht="18" customHeight="1" x14ac:dyDescent="0.25">
      <c r="A24" s="14"/>
      <c r="B24" s="14"/>
      <c r="C24" s="14"/>
      <c r="D24" s="14"/>
      <c r="E24" s="14"/>
    </row>
    <row r="25" spans="1:5" ht="18" customHeight="1" x14ac:dyDescent="0.25">
      <c r="A25" s="14"/>
      <c r="B25" s="14"/>
      <c r="C25" s="14"/>
      <c r="D25" s="14"/>
      <c r="E25" s="14"/>
    </row>
    <row r="26" spans="1:5" ht="18" customHeight="1" x14ac:dyDescent="0.25">
      <c r="A26" s="14"/>
      <c r="B26" s="14"/>
      <c r="C26" s="14"/>
      <c r="D26" s="14"/>
      <c r="E26" s="14"/>
    </row>
    <row r="27" spans="1:5" ht="18" customHeight="1" x14ac:dyDescent="0.25">
      <c r="A27" s="14"/>
      <c r="B27" s="14"/>
      <c r="C27" s="14"/>
      <c r="D27" s="14"/>
      <c r="E27" s="14"/>
    </row>
    <row r="28" spans="1:5" ht="18" customHeight="1" x14ac:dyDescent="0.25">
      <c r="A28" s="14"/>
      <c r="B28" s="14"/>
      <c r="C28" s="14"/>
      <c r="D28" s="14"/>
      <c r="E28" s="14"/>
    </row>
    <row r="29" spans="1:5" ht="18" customHeight="1" x14ac:dyDescent="0.25">
      <c r="A29" s="14"/>
      <c r="B29" s="14"/>
      <c r="C29" s="14"/>
      <c r="D29" s="14"/>
      <c r="E29" s="14"/>
    </row>
    <row r="30" spans="1:5" ht="18" customHeight="1" x14ac:dyDescent="0.25">
      <c r="A30" s="14"/>
      <c r="B30" s="14"/>
      <c r="C30" s="14"/>
      <c r="D30" s="14"/>
      <c r="E30" s="14"/>
    </row>
    <row r="31" spans="1:5" ht="18" customHeight="1" x14ac:dyDescent="0.25">
      <c r="A31" s="14"/>
      <c r="B31" s="14"/>
      <c r="C31" s="14"/>
      <c r="D31" s="14"/>
      <c r="E31" s="14"/>
    </row>
    <row r="32" spans="1:5" ht="18" customHeight="1" x14ac:dyDescent="0.25">
      <c r="A32" s="14"/>
      <c r="B32" s="14"/>
      <c r="C32" s="14"/>
      <c r="D32" s="14"/>
      <c r="E32" s="14"/>
    </row>
    <row r="33" spans="1:5" ht="18" customHeight="1" x14ac:dyDescent="0.25">
      <c r="A33" s="14"/>
      <c r="B33" s="14"/>
      <c r="C33" s="14"/>
      <c r="D33" s="14"/>
      <c r="E33" s="14"/>
    </row>
    <row r="34" spans="1:5" ht="18" customHeight="1" x14ac:dyDescent="0.25">
      <c r="A34" s="14"/>
      <c r="B34" s="14"/>
      <c r="C34" s="14"/>
      <c r="D34" s="14"/>
      <c r="E34" s="14"/>
    </row>
    <row r="35" spans="1:5" ht="18" customHeight="1" x14ac:dyDescent="0.25">
      <c r="A35" s="14"/>
      <c r="B35" s="14"/>
      <c r="C35" s="14"/>
      <c r="D35" s="14"/>
      <c r="E35" s="14"/>
    </row>
    <row r="36" spans="1:5" ht="18" customHeight="1" x14ac:dyDescent="0.25">
      <c r="A36" s="14"/>
      <c r="B36" s="14"/>
      <c r="C36" s="14"/>
      <c r="D36" s="14"/>
      <c r="E36" s="14"/>
    </row>
    <row r="37" spans="1:5" ht="18" customHeight="1" x14ac:dyDescent="0.25">
      <c r="A37" s="14"/>
      <c r="B37" s="14"/>
      <c r="C37" s="14"/>
      <c r="D37" s="14"/>
      <c r="E37" s="14"/>
    </row>
    <row r="38" spans="1:5" ht="18" customHeight="1" x14ac:dyDescent="0.25">
      <c r="A38" s="14"/>
      <c r="B38" s="14"/>
      <c r="C38" s="14"/>
      <c r="D38" s="14"/>
      <c r="E38" s="14"/>
    </row>
    <row r="39" spans="1:5" ht="18" customHeight="1" x14ac:dyDescent="0.25">
      <c r="A39" s="14"/>
      <c r="B39" s="14"/>
      <c r="C39" s="14"/>
      <c r="D39" s="14"/>
      <c r="E39" s="14"/>
    </row>
    <row r="41" spans="1:5" x14ac:dyDescent="0.25">
      <c r="A41" s="15" t="s">
        <v>175</v>
      </c>
      <c r="B41" s="14"/>
      <c r="C41" s="14"/>
      <c r="D41" s="14"/>
      <c r="E41" s="14"/>
    </row>
    <row r="42" spans="1:5" x14ac:dyDescent="0.25">
      <c r="A42" s="27" t="s">
        <v>176</v>
      </c>
      <c r="B42" s="14"/>
      <c r="C42" s="14"/>
      <c r="D42" s="14"/>
      <c r="E42" s="14"/>
    </row>
    <row r="43" spans="1:5" x14ac:dyDescent="0.25">
      <c r="A43" s="14"/>
      <c r="B43" s="14"/>
      <c r="C43" s="14"/>
      <c r="D43" s="14"/>
      <c r="E43" s="14"/>
    </row>
    <row r="44" spans="1:5" x14ac:dyDescent="0.25">
      <c r="A44" s="14"/>
      <c r="B44" s="14"/>
      <c r="C44" s="14"/>
      <c r="D44" s="14"/>
      <c r="E44" s="14"/>
    </row>
  </sheetData>
  <mergeCells count="9">
    <mergeCell ref="A9:E39"/>
    <mergeCell ref="C2:G2"/>
    <mergeCell ref="C1:G1"/>
    <mergeCell ref="A41:E41"/>
    <mergeCell ref="A42:E44"/>
    <mergeCell ref="A8:E8"/>
    <mergeCell ref="C3:D3"/>
    <mergeCell ref="A1:B3"/>
    <mergeCell ref="E3:F3"/>
  </mergeCells>
  <pageMargins left="0.5" right="0.5" top="0.75" bottom="0.75" header="0.3" footer="0.3"/>
  <pageSetup paperSize="9" fitToHeight="0" orientation="portrait"/>
  <headerFooter>
    <oddFooter>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01_PipingCircuit</vt:lpstr>
      <vt:lpstr>02_OrientationGrid</vt:lpstr>
      <vt:lpstr>03_PipeShoe_CUI</vt:lpstr>
      <vt:lpstr>04_Isometric_Legend</vt:lpstr>
      <vt:lpstr>05_Shutdown_Field</vt:lpstr>
      <vt:lpstr>06_Owner_Corrosion</vt:lpstr>
      <vt:lpstr>07_PV_ShellGrid</vt:lpstr>
      <vt:lpstr>08_PV_Nozzles</vt:lpstr>
      <vt:lpstr>09_PV_EngEval</vt:lpstr>
      <vt:lpstr>10_Tank_ShellCompass</vt:lpstr>
      <vt:lpstr>11_Tank_MultiCourse</vt:lpstr>
      <vt:lpstr>12_Tank_InspectorNotes</vt:lpstr>
      <vt:lpstr>'01_PipingCircuit'!Print_Titles</vt:lpstr>
      <vt:lpstr>'05_Shutdown_Field'!Print_Titles</vt:lpstr>
      <vt:lpstr>'06_Owner_Corrosion'!Print_Titles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Shankar K</cp:lastModifiedBy>
  <dcterms:created xsi:type="dcterms:W3CDTF">2026-01-29T19:21:07Z</dcterms:created>
  <dcterms:modified xsi:type="dcterms:W3CDTF">2026-01-29T19:52:55Z</dcterms:modified>
</cp:coreProperties>
</file>